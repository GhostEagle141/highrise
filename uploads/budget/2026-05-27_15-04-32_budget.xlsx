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2026 3B Cost codes" sheetId="1" r:id="rId4"/>
    <sheet state="visible" name="Real Expenses Jan - March 2026" sheetId="2" r:id="rId5"/>
    <sheet state="visible" name="GL Jan - March 2026" sheetId="3" r:id="rId6"/>
  </sheets>
  <definedNames>
    <definedName hidden="1" localSheetId="2" name="_xlnm._FilterDatabase">'GL Jan - March 2026'!$A$1:$L$171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UlgxIiCL8sQNDosqplQXioYOdZ3rw768mVpB917rKpU="/>
    </ext>
  </extLst>
</workbook>
</file>

<file path=xl/sharedStrings.xml><?xml version="1.0" encoding="utf-8"?>
<sst xmlns="http://schemas.openxmlformats.org/spreadsheetml/2006/main" count="1352" uniqueCount="460">
  <si>
    <t>Item / Description</t>
  </si>
  <si>
    <t>Proposed Budget 2026</t>
  </si>
  <si>
    <t>Comments - Cost Code</t>
  </si>
  <si>
    <t>Cost Group</t>
  </si>
  <si>
    <t xml:space="preserve">Property Management &amp; Maintenance Charges </t>
  </si>
  <si>
    <t xml:space="preserve">Maintenance Fees </t>
  </si>
  <si>
    <t>6115C4561</t>
  </si>
  <si>
    <t>Soft Services</t>
  </si>
  <si>
    <t>6115V4561</t>
  </si>
  <si>
    <t>Management Fees</t>
  </si>
  <si>
    <t>6115C4562</t>
  </si>
  <si>
    <t>6115V4562</t>
  </si>
  <si>
    <t>Security</t>
  </si>
  <si>
    <t>6115C5651A</t>
  </si>
  <si>
    <t>Insurance Policy</t>
  </si>
  <si>
    <t>6115V5651A</t>
  </si>
  <si>
    <t xml:space="preserve">Cleaning Services </t>
  </si>
  <si>
    <t>6115C500</t>
  </si>
  <si>
    <t>6115V500</t>
  </si>
  <si>
    <t>BMU Driver</t>
  </si>
  <si>
    <t>6115C5655A</t>
  </si>
  <si>
    <t>6115V5655A</t>
  </si>
  <si>
    <t>Janitors</t>
  </si>
  <si>
    <t>6115C5001A</t>
  </si>
  <si>
    <t>6115V5001A</t>
  </si>
  <si>
    <t>Landscaping MC</t>
  </si>
  <si>
    <t>6115C5601A</t>
  </si>
  <si>
    <t>6115V5601A</t>
  </si>
  <si>
    <t>Flowers For Main Lobies</t>
  </si>
  <si>
    <t>6115C5601B</t>
  </si>
  <si>
    <t>6115V5601B</t>
  </si>
  <si>
    <t>Gym Machines MC</t>
  </si>
  <si>
    <t>6115C4201A</t>
  </si>
  <si>
    <t>6115V4201A</t>
  </si>
  <si>
    <t>Façade Cleaning</t>
  </si>
  <si>
    <t>6115C5003A</t>
  </si>
  <si>
    <t>6115V5003A</t>
  </si>
  <si>
    <t>Insurance Fees</t>
  </si>
  <si>
    <t xml:space="preserve">6115C3200 </t>
  </si>
  <si>
    <t xml:space="preserve">Contractors </t>
  </si>
  <si>
    <t xml:space="preserve">6115V3200 </t>
  </si>
  <si>
    <t>6115C1099</t>
  </si>
  <si>
    <t>6115V1099</t>
  </si>
  <si>
    <t>Political Violence</t>
  </si>
  <si>
    <t>6115C3201</t>
  </si>
  <si>
    <t>6115V3201</t>
  </si>
  <si>
    <t>BMS MC</t>
  </si>
  <si>
    <t>6115C4353A</t>
  </si>
  <si>
    <t>General Spare Parts &amp; Consumables For Subcontracted Systems</t>
  </si>
  <si>
    <t>6115V4353A</t>
  </si>
  <si>
    <t>Elevators MC</t>
  </si>
  <si>
    <t>6115C4451A</t>
  </si>
  <si>
    <t>6115V4451A</t>
  </si>
  <si>
    <t>BMU MC</t>
  </si>
  <si>
    <t>6115C4452A</t>
  </si>
  <si>
    <t>6115V4452A</t>
  </si>
  <si>
    <t>Barrier Maintenance</t>
  </si>
  <si>
    <t>6115C4357A</t>
  </si>
  <si>
    <t>6115V4357A</t>
  </si>
  <si>
    <t>Water Treatment &amp; Pool Maintenance</t>
  </si>
  <si>
    <t>6115C4151A</t>
  </si>
  <si>
    <t>6115V4151A</t>
  </si>
  <si>
    <t>Fire Protection Services - Alarm System</t>
  </si>
  <si>
    <t>6115C5701A</t>
  </si>
  <si>
    <t>6115V5701A</t>
  </si>
  <si>
    <t>Fire Protection Services - Supression</t>
  </si>
  <si>
    <t>6115C5702A</t>
  </si>
  <si>
    <t>6115V5702A</t>
  </si>
  <si>
    <t>Pest Control</t>
  </si>
  <si>
    <t>6115C5551A</t>
  </si>
  <si>
    <t>6115V5551A</t>
  </si>
  <si>
    <t>UPS Maintenance</t>
  </si>
  <si>
    <t>6115C4351A</t>
  </si>
  <si>
    <t>6115V4351A</t>
  </si>
  <si>
    <t>Chillers Maintenance</t>
  </si>
  <si>
    <t>6115C410</t>
  </si>
  <si>
    <t>6115V410</t>
  </si>
  <si>
    <t>Sliding Doors</t>
  </si>
  <si>
    <t>6115C4355A</t>
  </si>
  <si>
    <t>6115V4355A</t>
  </si>
  <si>
    <t>CCTV Maintenance</t>
  </si>
  <si>
    <t>6115C4352A</t>
  </si>
  <si>
    <t>6115V4352A</t>
  </si>
  <si>
    <t>Maintenance Management Fees</t>
  </si>
  <si>
    <t>6115C5657A</t>
  </si>
  <si>
    <t>6115V5657A</t>
  </si>
  <si>
    <t>Generator consumption oil &amp; filters</t>
  </si>
  <si>
    <t xml:space="preserve">6115C4252B - </t>
  </si>
  <si>
    <t>Consumable for Common Usage</t>
  </si>
  <si>
    <t>6115V4252B</t>
  </si>
  <si>
    <t>6115C4252C</t>
  </si>
  <si>
    <t>6115V4252C</t>
  </si>
  <si>
    <t xml:space="preserve">General Spare Parts </t>
  </si>
  <si>
    <t>6115C4101B</t>
  </si>
  <si>
    <t>6115V4101B</t>
  </si>
  <si>
    <t>6115C4101C</t>
  </si>
  <si>
    <t>6115V4101C</t>
  </si>
  <si>
    <t>6115C4153B</t>
  </si>
  <si>
    <t>6115V4153B</t>
  </si>
  <si>
    <t>6115C4153C</t>
  </si>
  <si>
    <t>6115V4153C</t>
  </si>
  <si>
    <t>6115C4200</t>
  </si>
  <si>
    <t>6115V4200</t>
  </si>
  <si>
    <t>6115C4352C</t>
  </si>
  <si>
    <t>6115V4352C</t>
  </si>
  <si>
    <t>6115C4353B</t>
  </si>
  <si>
    <t>6115V4353B</t>
  </si>
  <si>
    <t>6115C4451B</t>
  </si>
  <si>
    <t>6115V4451B</t>
  </si>
  <si>
    <t>6115C4451C</t>
  </si>
  <si>
    <t>6115V4451C</t>
  </si>
  <si>
    <t>6115C4555</t>
  </si>
  <si>
    <t>6115V4555</t>
  </si>
  <si>
    <t>6115C4559C</t>
  </si>
  <si>
    <t>6115V4559C</t>
  </si>
  <si>
    <t>6115C5601C</t>
  </si>
  <si>
    <t>6115V5601C</t>
  </si>
  <si>
    <t>6115C5701B</t>
  </si>
  <si>
    <t>6115V5701B</t>
  </si>
  <si>
    <t>6115C5702B</t>
  </si>
  <si>
    <t>6115V5702B</t>
  </si>
  <si>
    <t>6115C4151B</t>
  </si>
  <si>
    <t>6115V4151B</t>
  </si>
  <si>
    <t>6115C4151C</t>
  </si>
  <si>
    <t>6115V4151C</t>
  </si>
  <si>
    <t>6115C4558B</t>
  </si>
  <si>
    <t>6115V4558B</t>
  </si>
  <si>
    <t>6115C4558C</t>
  </si>
  <si>
    <t>6115V4558C</t>
  </si>
  <si>
    <t>6115C4559B</t>
  </si>
  <si>
    <t>6115V4559B</t>
  </si>
  <si>
    <t xml:space="preserve">Electricity Consumption </t>
  </si>
  <si>
    <t>6115C9202</t>
  </si>
  <si>
    <t xml:space="preserve">Miscellaneous Expenses </t>
  </si>
  <si>
    <t>6115V9202</t>
  </si>
  <si>
    <t xml:space="preserve">Fuel Consumption for Generator - Working capital </t>
  </si>
  <si>
    <t>6115C9203D</t>
  </si>
  <si>
    <t>6115V9203D</t>
  </si>
  <si>
    <t>6115C9203Y</t>
  </si>
  <si>
    <t>6115V9203Y</t>
  </si>
  <si>
    <t xml:space="preserve">Water Subscription  </t>
  </si>
  <si>
    <t>6115C5901</t>
  </si>
  <si>
    <t>6115V5901</t>
  </si>
  <si>
    <t xml:space="preserve">Drinking Water </t>
  </si>
  <si>
    <t>6115C4551</t>
  </si>
  <si>
    <t>6115V4551</t>
  </si>
  <si>
    <t>Potable water &amp; water wagons</t>
  </si>
  <si>
    <t>6115C9204</t>
  </si>
  <si>
    <t>6115V9204</t>
  </si>
  <si>
    <t>Bank Charges</t>
  </si>
  <si>
    <t>6115C6738</t>
  </si>
  <si>
    <t>6115V6738</t>
  </si>
  <si>
    <t xml:space="preserve">Furniture &amp; Assets </t>
  </si>
  <si>
    <t>6115C550</t>
  </si>
  <si>
    <t>6115V550</t>
  </si>
  <si>
    <t>Telephone &amp; Internet Services</t>
  </si>
  <si>
    <t>6115C4553</t>
  </si>
  <si>
    <t>6115V4553</t>
  </si>
  <si>
    <t xml:space="preserve">6115C9201 </t>
  </si>
  <si>
    <t xml:space="preserve">6115V9201 </t>
  </si>
  <si>
    <t>Detergent and Cleaning Tools</t>
  </si>
  <si>
    <t>6115C4556</t>
  </si>
  <si>
    <t>6115V4556</t>
  </si>
  <si>
    <t>Garbage Collection</t>
  </si>
  <si>
    <t>6115C9205C</t>
  </si>
  <si>
    <t>6115V9205C</t>
  </si>
  <si>
    <t xml:space="preserve">Civil Work </t>
  </si>
  <si>
    <t>6115C9207</t>
  </si>
  <si>
    <t>6115V9207</t>
  </si>
  <si>
    <t>Other Charges</t>
  </si>
  <si>
    <t>6115C5750</t>
  </si>
  <si>
    <t>6115V5750</t>
  </si>
  <si>
    <t>6115C4557</t>
  </si>
  <si>
    <t>6115V4557</t>
  </si>
  <si>
    <t>6115C4554</t>
  </si>
  <si>
    <t>6115V4554</t>
  </si>
  <si>
    <t>6115C5001C</t>
  </si>
  <si>
    <t>6115V5001C</t>
  </si>
  <si>
    <t>6115C5801</t>
  </si>
  <si>
    <t>6115V5801</t>
  </si>
  <si>
    <t>Bonus</t>
  </si>
  <si>
    <t>6115C920</t>
  </si>
  <si>
    <t>6115V920</t>
  </si>
  <si>
    <t>Auditing services</t>
  </si>
  <si>
    <t>6115C5751</t>
  </si>
  <si>
    <t>6115V5751</t>
  </si>
  <si>
    <t>Legal expenses</t>
  </si>
  <si>
    <t>6115C3350</t>
  </si>
  <si>
    <t>6115V3350</t>
  </si>
  <si>
    <t>Total Running Budget</t>
  </si>
  <si>
    <t>5% contingency</t>
  </si>
  <si>
    <t>Capex List 2026</t>
  </si>
  <si>
    <t>Comments</t>
  </si>
  <si>
    <t xml:space="preserve">Essential Maintenance Projects </t>
  </si>
  <si>
    <t>Repair waterproofing of cascade T3 (leaking to shop)</t>
  </si>
  <si>
    <t>6115C5806</t>
  </si>
  <si>
    <t>Generator Major overhaul (G3 - YAY01332)</t>
  </si>
  <si>
    <t>Generator Top overhaul (G1 - RTY04342)</t>
  </si>
  <si>
    <t>Waterproofing repairs (façade)</t>
  </si>
  <si>
    <t>Replacing ropes for T1 - Lift A + T3 - Lift I</t>
  </si>
  <si>
    <t>Façade tiles replacing the damaged ones</t>
  </si>
  <si>
    <t>6115V5806</t>
  </si>
  <si>
    <t>Generators overhaul (G4)</t>
  </si>
  <si>
    <t>Mitsulift service elevator T3, traction ropes and sheaves</t>
  </si>
  <si>
    <t>Mitsulift service elevator T1, traction ropes and sheaves</t>
  </si>
  <si>
    <t>Suggested Projects &amp; Improvement</t>
  </si>
  <si>
    <t>Service Elevator rehabilitation for T2 and T3</t>
  </si>
  <si>
    <t>Elevator Cage Renovation</t>
  </si>
  <si>
    <t>3M is an alternative for this</t>
  </si>
  <si>
    <t>Gym Equipment</t>
  </si>
  <si>
    <t>3M Elevator Landing Doors + Cabins + Cabin doors</t>
  </si>
  <si>
    <t>Waste Heat Recovery System on generator</t>
  </si>
  <si>
    <t>New lifting pump T2 pump #2</t>
  </si>
  <si>
    <t>Repair of celing access panels in apt lobbies+locks+saftey chains</t>
  </si>
  <si>
    <t>Repair / Replace wood decking on rooftops</t>
  </si>
  <si>
    <t>Landscape Upgrade - 2 Planters between towers + Public Garden</t>
  </si>
  <si>
    <t>mood boards available from exotica</t>
  </si>
  <si>
    <t>UPS for Residential Elevators</t>
  </si>
  <si>
    <t>Entrances Rehabilitation</t>
  </si>
  <si>
    <t>Material for painting stairs walls/parkings/elev lobbies/
rooftops floors/epoxy for stairs+mech shafts+service elev lobby</t>
  </si>
  <si>
    <t>Installation of Sauna in swimming pool area</t>
  </si>
  <si>
    <t>Tiles for swimming pool walls</t>
  </si>
  <si>
    <t>Repair of tiles in drop off area</t>
  </si>
  <si>
    <t>Replace carbon filters</t>
  </si>
  <si>
    <t>Replace Sand filters</t>
  </si>
  <si>
    <t>Waterproofing repairs</t>
  </si>
  <si>
    <t>Drivers rooms furnitures coaches (4 T1, 3 T2, 3 T3) and lockers</t>
  </si>
  <si>
    <t>Flower Bed Upgrade</t>
  </si>
  <si>
    <t>New Interphone System</t>
  </si>
  <si>
    <t>Wifi for parkings</t>
  </si>
  <si>
    <t>Total Including New Projects</t>
  </si>
  <si>
    <t>Sum of Amount</t>
  </si>
  <si>
    <t>Cur</t>
  </si>
  <si>
    <t>Acc.No.</t>
  </si>
  <si>
    <t>Name</t>
  </si>
  <si>
    <t>LBP</t>
  </si>
  <si>
    <t>usdF</t>
  </si>
  <si>
    <t>REAL EXPENSES-LEGAL</t>
  </si>
  <si>
    <t>REAL EXPENSES-HEATING-SPARE PARTS</t>
  </si>
  <si>
    <t>REAL EXPENSES-PUMPS SPARE PARTS</t>
  </si>
  <si>
    <t>REAL EXPENSES-WATER TREATMENT</t>
  </si>
  <si>
    <t>6115C4252B</t>
  </si>
  <si>
    <t>REAL EXPENSES-GENERATORS-SPARE PARTS</t>
  </si>
  <si>
    <t>REAL EXPENSES-ELEVATORS-MAINTENANCE CONTRACTS</t>
  </si>
  <si>
    <t>REAL EXPENSES-ELEVATORS-CONSUMABLES</t>
  </si>
  <si>
    <t>REAL EXPENSES-GENERAL CONSUMABLES</t>
  </si>
  <si>
    <t>REAL EXPENSES-MANPOWER (O&amp;M)</t>
  </si>
  <si>
    <t>REAL EXPENSES-MANPOWER(MANAGEMENT)</t>
  </si>
  <si>
    <t>REAL EXPENSES-JANITORIAL-CONTRACTS</t>
  </si>
  <si>
    <t>REAL EXPENSES-FACADE CLEANING-CONTRACTS</t>
  </si>
  <si>
    <t>6115C5600A</t>
  </si>
  <si>
    <t>REAL EXPENSES-LANDSAPING</t>
  </si>
  <si>
    <t>REAL EXPENSES-SECURITY-MAINTENANCE CONTRACTS</t>
  </si>
  <si>
    <t>REAL EXPENSES-DELIVERY BOY-MAINTENANCE CONTRACTS</t>
  </si>
  <si>
    <t>REAL EXPENSES-FIRE ALARM-SPARE PARTS</t>
  </si>
  <si>
    <t>REAL EXPENSES-UNFORESEEN</t>
  </si>
  <si>
    <t>REAL EXPENSE- BANK CHARGES-FRESH $ ACCT</t>
  </si>
  <si>
    <t>REAL EXPENSES-PAYMENTS ELECTRICITY</t>
  </si>
  <si>
    <t>REAL EXPENSES- FUEL GENERAL</t>
  </si>
  <si>
    <t>REAL EXPENSES-FUEL/BOILER</t>
  </si>
  <si>
    <t>REAL EXPENSES-PAYMENTS ADDITIONAL WATER FILL</t>
  </si>
  <si>
    <t>REAL EXPENSES - MISCELLANEOUS CONSUMABLES</t>
  </si>
  <si>
    <t>REAL EXPENSES-PUMPS SPARE PARTS-VAT</t>
  </si>
  <si>
    <t>REAL EXPENSES-GENERATORS-SPARE PARTS-VAT</t>
  </si>
  <si>
    <t>REAL EXPENSES-GENERAL CONSUMABLES-VAT</t>
  </si>
  <si>
    <t>REAL EXPENSES-MANPOWER (O&amp;M)-VAT</t>
  </si>
  <si>
    <t>REAL EXPENSES-MANPOWER(MANAGEMENT)-VAT</t>
  </si>
  <si>
    <t>REAL EXPENSES-JANITORIAL-CONTRACTS-VAT</t>
  </si>
  <si>
    <t>6115V5600A</t>
  </si>
  <si>
    <t>REAL EXPENSES-LANDSAPING-VAT</t>
  </si>
  <si>
    <t>REAL EXPENSES-FIRE ALARM-SPARE PARTS-VAT</t>
  </si>
  <si>
    <t>REAL EXPENSES-UNFORESEEN-VAT</t>
  </si>
  <si>
    <t>REAL EXPENSES-PAYMENTS ELECTRICITY-VAT</t>
  </si>
  <si>
    <t>Miscellaneous - Consumables</t>
  </si>
  <si>
    <t>Grand Total</t>
  </si>
  <si>
    <t>Aux.</t>
  </si>
  <si>
    <t>Date</t>
  </si>
  <si>
    <t>Type</t>
  </si>
  <si>
    <t>Jv.No.</t>
  </si>
  <si>
    <t>Reference</t>
  </si>
  <si>
    <t>Description</t>
  </si>
  <si>
    <t>Debit</t>
  </si>
  <si>
    <t>Credit</t>
  </si>
  <si>
    <t>Amount</t>
  </si>
  <si>
    <t>JV</t>
  </si>
  <si>
    <t>Lawyer Fees</t>
  </si>
  <si>
    <t>Fadel  Abou Taher/Lawyer Fees/13-2-26/CH-$</t>
  </si>
  <si>
    <t>Cool Energy/Pressure Test/9-1-26/CH-$</t>
  </si>
  <si>
    <t>SLA-26000229</t>
  </si>
  <si>
    <t>Ibrahim Tabsch/SLA-26000229/Pumps Spare Parts/16-1-26/CH-$</t>
  </si>
  <si>
    <t>SLA-26000228</t>
  </si>
  <si>
    <t>Ibrahim Tabsch/SLA-26000228/Pumps Spare Parts/16-1-26/CH-$</t>
  </si>
  <si>
    <t>1001503/2026</t>
  </si>
  <si>
    <t>Upstream-100503/2026-Pump,Lathe&amp;Seal/27-2-26/CH-$</t>
  </si>
  <si>
    <t>Hydrau Tech/153/Acid Powder&amp;Chlorine/2-2-26/CH-$</t>
  </si>
  <si>
    <t>Ziad Shawaf/90/Water Treatment/13-2-26/CH-$</t>
  </si>
  <si>
    <t>Hydrautech/153/Dichloro&amp;Acid Powder/2-2-26/CH-$</t>
  </si>
  <si>
    <t>HydrauTech/501/Acid Powder/2-3-26/CH-$</t>
  </si>
  <si>
    <t>HydrauTech/504/Hose Connector/6-3-26/CH-$</t>
  </si>
  <si>
    <t>INV26_x001f__000050</t>
  </si>
  <si>
    <t>M.Jallad/INV26_000050/Seal Ring&amp;Sensor/8-1-26/CH-$</t>
  </si>
  <si>
    <t>ZKIN26_000135</t>
  </si>
  <si>
    <t>M.Jallad-ZKIN26_000135-Coolant/19-2-26/CH-$</t>
  </si>
  <si>
    <t>EEE/260027/1st Quarter Mnt Cntract-2026/19-1-26/CH-$</t>
  </si>
  <si>
    <t>EEE/260030/Consumables/21-1-26/CH-$</t>
  </si>
  <si>
    <t>EEE/260003/Supply&amp;Install New Lop/7-1-26/CH-$</t>
  </si>
  <si>
    <t>EEE/260072/Supply&amp;Install Door Lock/26-2-26/CH-$</t>
  </si>
  <si>
    <t>EEE/260058/Repair LOP Power/23-2-26/CH-$</t>
  </si>
  <si>
    <t>EEE/260071/Repairing Traction Sheave/26-2-26/CH-$</t>
  </si>
  <si>
    <t>Recharge</t>
  </si>
  <si>
    <t>Wish/Recharge Landline/2-2-26/CH-LL</t>
  </si>
  <si>
    <t>Ahmad Chahine/231/Service Charges/6-1-26/CH-$</t>
  </si>
  <si>
    <t>I-4669395/R60</t>
  </si>
  <si>
    <t>Sohat Dist./I-4669395/R60-22 Water Galon/12-1-25/CH-$</t>
  </si>
  <si>
    <t>Hassan Saab/Electrical Heaters/12-1-26/CH-$</t>
  </si>
  <si>
    <t>Abo Alaa/1240/Consumables/8-1-26/CH-$</t>
  </si>
  <si>
    <t>Abo Alaa/1223/Consumables/6-1-26/CH-$</t>
  </si>
  <si>
    <t>HydroPro/945/Consumables/13-1-26/CH-$</t>
  </si>
  <si>
    <t>Abo Alaa/Brushes/28-1-26/CH-$</t>
  </si>
  <si>
    <t>Abo Alaa/Silicone&amp;Braven/27-1-26/CH-$</t>
  </si>
  <si>
    <t>Ahmad Chahine/245/Service Charge/28-1-26/CH-$</t>
  </si>
  <si>
    <t>Hassan Husseini/947/Plug&amp;Socket/27-1-26/CH-$</t>
  </si>
  <si>
    <t>Abo Alaa/Consumables/12-1-26/CH-$</t>
  </si>
  <si>
    <t>I-4669480/R60</t>
  </si>
  <si>
    <t>Sohat Dist./I-4669480/R60-22 Water Galon/19-1-25/CH-$</t>
  </si>
  <si>
    <t>I-4669559/R60</t>
  </si>
  <si>
    <t>Sohat Dist./I-4669559/R60-28 Water Galon/27-1-25/CH-$</t>
  </si>
  <si>
    <t>Dahua IP Camera-Screen Star Sat/CH-$</t>
  </si>
  <si>
    <t>Deo Group/04/Bottle Perfume/15-1-26/CH-$</t>
  </si>
  <si>
    <t>Electric/8356/Smart TV/19-1-26/CH-$</t>
  </si>
  <si>
    <t>20-1-26/Tools</t>
  </si>
  <si>
    <t>Cleaning&amp;Cleaning Tools/20-1-26/CH-$</t>
  </si>
  <si>
    <t>Abo Alaa/Consumables/20-1-26/CH-$</t>
  </si>
  <si>
    <t>Abo Alaa/Consumables/15-1-26/CH-$</t>
  </si>
  <si>
    <t>Hassan Husseini/855/Lamp/13-1-26/CH-$</t>
  </si>
  <si>
    <t>Hassan Husseini/874/Cable/14-1-26/CH-$</t>
  </si>
  <si>
    <t>Hassan Husseini/875/Breaker/14-1-26/CH-$</t>
  </si>
  <si>
    <t>Hassan Husseini/869/LED/14-1-26/CH-$</t>
  </si>
  <si>
    <t>Hassan Husseini/889/Breaker/15-1-26/CH-$</t>
  </si>
  <si>
    <t>Ziad Shawaf/84/Consumables/31-1-26/CH-$</t>
  </si>
  <si>
    <t>Abo Alaa/Consumables/30-1-26/CH-$</t>
  </si>
  <si>
    <t>Abo Alaa/Consumables/3-2-26/CH-$</t>
  </si>
  <si>
    <t>Abo Alaa/Consumables/4-2-26/CH-$</t>
  </si>
  <si>
    <t>Abo Alaa/Consumables/31-1-26/CH-$</t>
  </si>
  <si>
    <t>Abo Alaa/Consumables/13-2-26/CH-$</t>
  </si>
  <si>
    <t>Abo Alaa/Consumables/29-1-26/CH-$</t>
  </si>
  <si>
    <t>Abo Alaa/Consumables/5-2-26/CH-$</t>
  </si>
  <si>
    <t>3-2-26/Abo Alaa</t>
  </si>
  <si>
    <t>Abo Alaa-3-2-26</t>
  </si>
  <si>
    <t>Abo Alaa/Consumables/6-2-26/CH-$</t>
  </si>
  <si>
    <t>Abo Alaa/Consumables/10-2-26/CH-$</t>
  </si>
  <si>
    <t>10-2-26-</t>
  </si>
  <si>
    <t>Maher Shop</t>
  </si>
  <si>
    <t>Maher Music Shop/Playlist &amp;USB/CH-$</t>
  </si>
  <si>
    <t>Akar&amp;Tabet/1003688/Adapter&amp;Bend/6-2-26/CH-$</t>
  </si>
  <si>
    <t>SO-005-00041</t>
  </si>
  <si>
    <t>Ecomat Universal Soft Close/SO-005-00041/11-2-26/CH-$</t>
  </si>
  <si>
    <t>I-4669632/R60</t>
  </si>
  <si>
    <t>Sohat Dist./I-4669632/R60-26 Water Galon/3-2-25/CH-$</t>
  </si>
  <si>
    <t>Rolling/00090/Garbage Bag/19-1-26/CH-$</t>
  </si>
  <si>
    <t>Rolling/148/Interfold,Soap&amp;Garbage Bag/27-1-26/CH-$</t>
  </si>
  <si>
    <t>Rolling/119/Interfold,Soap&amp;Garbage Bag/22-1-26/CH-$</t>
  </si>
  <si>
    <t>Hassan Hussieni/949/Battery/27-1-26/CH-$</t>
  </si>
  <si>
    <t>945-H.H</t>
  </si>
  <si>
    <t>Hassan Hussieni/945/Power Supply/27-1-26/CH-$</t>
  </si>
  <si>
    <t>Hassan Hussieni/963/Consumables/29-1-26/CH-$</t>
  </si>
  <si>
    <t>Hassan Hussieni/812/LED LAmp/6-1-26/CH-$</t>
  </si>
  <si>
    <t>Hassan Hussieni/901/COnsumables/20-1-26/CH-$</t>
  </si>
  <si>
    <t>Hassan Hussieni/904/Power Supply/20-1-26/CH-$</t>
  </si>
  <si>
    <t>I-4669959/R60</t>
  </si>
  <si>
    <t>Sohat Dist./I-4669959/R60-24 Water Galon/9-3-25/CH-$</t>
  </si>
  <si>
    <t>I-4669853/R60</t>
  </si>
  <si>
    <t>Sohat Dist./I-4669853/R60-22 Water Galon/23-2-25/CH-$</t>
  </si>
  <si>
    <t>I-4669786/R60</t>
  </si>
  <si>
    <t>Sohat Dist./I-4669786/R60-29 Water Galon/16-2-25/CH-$</t>
  </si>
  <si>
    <t>I-4670012/R60</t>
  </si>
  <si>
    <t>Sohat Dist./I-4670012/R60-24 Water Galon/16-3-25/CH-$</t>
  </si>
  <si>
    <t>Maher Music Shop/USB&amp;Playsit/18-2-26/CH-$</t>
  </si>
  <si>
    <t>Maher Music Shop/USB&amp;Playsit/26-2-26/CH-$</t>
  </si>
  <si>
    <t>H.K.Electric/Handy Panasonic Black/18-3-26/CH-$</t>
  </si>
  <si>
    <t>Toilet Set For Bathroom/26-3-26/CH-$</t>
  </si>
  <si>
    <t>Deo Group/Entrance Perfume Fresh Air/3-3-26/CH-$</t>
  </si>
  <si>
    <t>Hajj Electronic/Cooler For Gym/16-3-26/CH-$</t>
  </si>
  <si>
    <t>Boulos Khattar/21/LNB/26-2-26/CH-$</t>
  </si>
  <si>
    <t>Abo Alaa/Consumables/23-2-26/CH-$</t>
  </si>
  <si>
    <t>Dabbous/Consumablles/3-3-26/CH-$</t>
  </si>
  <si>
    <t>Dabbous</t>
  </si>
  <si>
    <t>Dabbous/Patex 1KG/3-3-26/CH-$</t>
  </si>
  <si>
    <t>Dabbous/Consumables/27-2-26/CH-$</t>
  </si>
  <si>
    <t>Dabbous-</t>
  </si>
  <si>
    <t>Lamar/41/Screen&amp;Stand For TV/23-3-26/CH-$</t>
  </si>
  <si>
    <t>Rolling/294/Interfold,Soap&amp;Glass Cleaner/24-2-26/CH-$</t>
  </si>
  <si>
    <t>Rolling/252/Motoclean&amp;Plastic Cups/16-2-26/CH-$</t>
  </si>
  <si>
    <t>Rolling/300/Waste Bin Stainless Steel/26-2-26/CH-$</t>
  </si>
  <si>
    <t>162 SMS</t>
  </si>
  <si>
    <t>SMS/162/Q1/MAINTENANCE FEES/20-1-2026</t>
  </si>
  <si>
    <t>161 SMS</t>
  </si>
  <si>
    <t>SMS/161/Q1/MANAGMENT FEES/20-1-2026</t>
  </si>
  <si>
    <t>Master Team/13088/Cleaning/Jan-26/31-1-26/CH-$</t>
  </si>
  <si>
    <t>006-2026</t>
  </si>
  <si>
    <t>Zone15/006-2026/Cleaning/Jan-26/31-1-26/CH-$</t>
  </si>
  <si>
    <t>022-2026</t>
  </si>
  <si>
    <t>Zone15/022-2026/Cleaning/Feb-26/28-2-26/CH-$</t>
  </si>
  <si>
    <t>Master Team/13134/Cleaning/Feb-26/28-2-26/CH-$</t>
  </si>
  <si>
    <t>Master Team/13179/Cleaning/March-26/31-3-26/CH-$</t>
  </si>
  <si>
    <t>044-2026</t>
  </si>
  <si>
    <t>Zone15/044-2026/Cleaning/March-26/31-3-26/CH-$</t>
  </si>
  <si>
    <t>Magic Services/8917/Glass Cleaning/8-2-26/CH-$</t>
  </si>
  <si>
    <t>26SPI000250</t>
  </si>
  <si>
    <t>Exotica/26SPI000250/Mnt Charges From Jan Till June-2026/CH-$</t>
  </si>
  <si>
    <t>S1/2026/24</t>
  </si>
  <si>
    <t>Forearms-S1/2026/24-Security Fees/Jan-26/30-1-26/CH-$</t>
  </si>
  <si>
    <t>S1/2026/14</t>
  </si>
  <si>
    <t>Forearms-S1/2026/14-Security Fees/Jan-26/26-1-26/CH-$</t>
  </si>
  <si>
    <t>S1/2026/42</t>
  </si>
  <si>
    <t>Forearms-S1/2026/42-Security Fees/Feb-26/26-2-26/CH-$</t>
  </si>
  <si>
    <t>S1/2026/65</t>
  </si>
  <si>
    <t>Forearms-S1/2026/65-Security Fees/March-26/29-3-26/CH-$</t>
  </si>
  <si>
    <t>Salary-Jan26</t>
  </si>
  <si>
    <t>Salary For Walid Khaibour-BMU Driver-JAN-2026/CH-$</t>
  </si>
  <si>
    <t>Salary-Feb26</t>
  </si>
  <si>
    <t>Salary For Walid Khaibour-BMU Driver-FEB-2026/CH-$</t>
  </si>
  <si>
    <t>Salary-March26</t>
  </si>
  <si>
    <t>Salary For Walid Khaibour-BMU Driver-March-2026/CH-$</t>
  </si>
  <si>
    <t>Resco/00041/Repairing Loop Card/21-1-26/CH-$</t>
  </si>
  <si>
    <t>Resco/00031/Mnt Charges From 1-1-26 To 31-12-26/CH-$</t>
  </si>
  <si>
    <t>S00526PI000188</t>
  </si>
  <si>
    <t>Tinol/S00526PI000188/Paints/21-1-26/CH-$</t>
  </si>
  <si>
    <t>S00526PI000414</t>
  </si>
  <si>
    <t>Tinol/S00526PI000414/Paints/13-2-26/CH-$</t>
  </si>
  <si>
    <t>Ossaily Group/292/Mnt&amp;Art Works/5-2-26/CH-$</t>
  </si>
  <si>
    <t>Ramadan Eid Bonus For Employees/26-2-26/CH-$</t>
  </si>
  <si>
    <t>Ossaily Group/38/Consumables/16-3-26/CH-$</t>
  </si>
  <si>
    <t>513TO533-184k$</t>
  </si>
  <si>
    <t>BANK CHARGES-FRESH $ ACCT</t>
  </si>
  <si>
    <t>Col ch$44012</t>
  </si>
  <si>
    <t>charges on cheque collection no.44012</t>
  </si>
  <si>
    <t>409to533 722$</t>
  </si>
  <si>
    <t>bank charges</t>
  </si>
  <si>
    <t>Oct,Nov&amp;Dec-25</t>
  </si>
  <si>
    <t>EDL/Oct,Nov&amp;Dec-25/Subs:60107/19-2-26/CH-$</t>
  </si>
  <si>
    <t>Consmpt.Jan-26</t>
  </si>
  <si>
    <t>Diesel Private Consumption-Jan-26</t>
  </si>
  <si>
    <t>Diesel Common Area Consumption-Jan-26</t>
  </si>
  <si>
    <t>Consmpt.Feb-26</t>
  </si>
  <si>
    <t>Diesel Common Area Consumption-Feb-26</t>
  </si>
  <si>
    <t>Diesel Private Consumption-Feb-26</t>
  </si>
  <si>
    <t>Consmpt.Mar-26</t>
  </si>
  <si>
    <t>Diesel Common Area Consumption-March-26</t>
  </si>
  <si>
    <t>Diesel Private Consumption-March-26</t>
  </si>
  <si>
    <t>Boiler Consumption-Jan-26</t>
  </si>
  <si>
    <t>Boiler Consumption-Feb-26</t>
  </si>
  <si>
    <t>Boiler Consumption-March-26</t>
  </si>
  <si>
    <t>Pure Water/500830/55 Water Tank/Jan-26/31-1-26/CH-$</t>
  </si>
  <si>
    <t>Pure Water/500874/112 Water Tank/Feb-26/28-2-26/CH-$</t>
  </si>
  <si>
    <t>Pure Water/500888/154 Water Tank/March-26/31-3-26/CH-$</t>
  </si>
  <si>
    <t>Verde/12633/Waste Collection/5-1-26/CH-$</t>
  </si>
  <si>
    <t>Elie Khoury/425/Consumables/23-1-26/CH-$</t>
  </si>
  <si>
    <t>Verde/12899/Waste Collection/5-2-26/CH-$</t>
  </si>
  <si>
    <t>Verde/13167/Waste Collection/5-3-26/CH-$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</si>
</sst>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3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/>
    </xf>
    <xf borderId="2" fillId="2" fontId="1" numFmtId="0" xfId="0" applyBorder="1" applyFont="1"/>
    <xf borderId="2" fillId="2" fontId="1" numFmtId="3" xfId="0" applyAlignment="1" applyBorder="1" applyFont="1" applyNumberFormat="1">
      <alignment horizontal="center" vertical="center"/>
    </xf>
    <xf borderId="2" fillId="2" fontId="3" numFmtId="0" xfId="0" applyBorder="1" applyFont="1"/>
    <xf borderId="3" fillId="0" fontId="3" numFmtId="0" xfId="0" applyAlignment="1" applyBorder="1" applyFont="1">
      <alignment horizontal="left" vertical="center"/>
    </xf>
    <xf borderId="3" fillId="0" fontId="3" numFmtId="3" xfId="0" applyAlignment="1" applyBorder="1" applyFont="1" applyNumberFormat="1">
      <alignment horizontal="center" vertical="center"/>
    </xf>
    <xf borderId="4" fillId="0" fontId="3" numFmtId="0" xfId="0" applyBorder="1" applyFont="1"/>
    <xf borderId="5" fillId="2" fontId="1" numFmtId="0" xfId="0" applyBorder="1" applyFont="1"/>
    <xf borderId="6" fillId="0" fontId="4" numFmtId="0" xfId="0" applyBorder="1" applyFont="1"/>
    <xf borderId="7" fillId="0" fontId="3" numFmtId="0" xfId="0" applyBorder="1" applyFont="1"/>
    <xf borderId="5" fillId="2" fontId="1" numFmtId="3" xfId="0" applyAlignment="1" applyBorder="1" applyFont="1" applyNumberFormat="1">
      <alignment horizontal="center" vertical="center"/>
    </xf>
    <xf borderId="5" fillId="2" fontId="3" numFmtId="0" xfId="0" applyBorder="1" applyFont="1"/>
    <xf borderId="8" fillId="0" fontId="3" numFmtId="0" xfId="0" applyAlignment="1" applyBorder="1" applyFont="1">
      <alignment horizontal="left" vertical="center"/>
    </xf>
    <xf borderId="8" fillId="0" fontId="3" numFmtId="3" xfId="0" applyAlignment="1" applyBorder="1" applyFont="1" applyNumberFormat="1">
      <alignment horizontal="center" vertical="center"/>
    </xf>
    <xf borderId="9" fillId="0" fontId="3" numFmtId="0" xfId="0" applyBorder="1" applyFont="1"/>
    <xf borderId="8" fillId="0" fontId="4" numFmtId="0" xfId="0" applyBorder="1" applyFont="1"/>
    <xf borderId="1" fillId="0" fontId="3" numFmtId="0" xfId="0" applyBorder="1" applyFont="1"/>
    <xf borderId="9" fillId="0" fontId="4" numFmtId="0" xfId="0" applyBorder="1" applyFont="1"/>
    <xf borderId="4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0" fillId="0" fontId="3" numFmtId="0" xfId="0" applyBorder="1" applyFont="1"/>
    <xf borderId="11" fillId="2" fontId="1" numFmtId="0" xfId="0" applyBorder="1" applyFont="1"/>
    <xf borderId="11" fillId="2" fontId="1" numFmtId="3" xfId="0" applyAlignment="1" applyBorder="1" applyFont="1" applyNumberFormat="1">
      <alignment horizontal="center" vertical="center"/>
    </xf>
    <xf borderId="11" fillId="2" fontId="3" numFmtId="0" xfId="0" applyBorder="1" applyFont="1"/>
    <xf borderId="1" fillId="2" fontId="3" numFmtId="0" xfId="0" applyBorder="1" applyFont="1"/>
    <xf borderId="1" fillId="0" fontId="1" numFmtId="0" xfId="0" applyBorder="1" applyFont="1"/>
    <xf borderId="1" fillId="0" fontId="1" numFmtId="3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left" vertical="center"/>
    </xf>
    <xf borderId="7" fillId="0" fontId="3" numFmtId="3" xfId="0" applyAlignment="1" applyBorder="1" applyFont="1" applyNumberFormat="1">
      <alignment horizontal="center" vertical="center"/>
    </xf>
    <xf borderId="0" fillId="0" fontId="2" numFmtId="0" xfId="0" applyFont="1"/>
    <xf borderId="0" fillId="0" fontId="3" numFmtId="3" xfId="0" applyAlignment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4" xfId="0" applyFont="1" applyNumberForma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L171" sheet="GL Jan - March 2026"/></cacheSource><cacheFields><cacheField name="Acc.No." numFmtId="0"><sharedItems><s v="6115C3350"/><s v="6115C4101B"/><s v="6115C4153B"/><s v="6115C4200"/><s v="6115C4252B"/><s v="6115C4451A"/><s v="6115C4451C"/><s v="6115C4555"/><s v="6115C4561"/><s v="6115C4562"/><s v="6115C5001A"/><s v="6115C5003A"/><s v="6115C5600A"/><s v="6115C5651A"/><s v="6115C5655A"/><s v="6115C5701B"/><s v="6115C5750"/><s v="6115C6738"/><s v="6115C9202"/><s v="6115C9203D"/><s v="6115C9203Y"/><s v="6115C9204"/><s v="6115C9205C"/><s v="6115V4153B"/><s v="6115V4252B"/><s v="6115V4555"/><s v="6115V4561"/><s v="6115V4562"/><s v="6115V5001A"/><s v="6115V5600A"/><s v="6115V5701B"/><s v="6115V5750"/><s v="6115V9202"/><s v="6115V9205C"/></sharedItems></cacheField><cacheField name="Aux." numFmtId="0"><sharedItems containsString="0" containsBlank="1"><m/></sharedItems></cacheField><cacheField name="Name" numFmtId="0"><sharedItems><s v="REAL EXPENSES-LEGAL"/><s v="REAL EXPENSES-HEATING-SPARE PARTS"/><s v="REAL EXPENSES-PUMPS SPARE PARTS"/><s v="REAL EXPENSES-WATER TREATMENT"/><s v="REAL EXPENSES-GENERATORS-SPARE PARTS"/><s v="REAL EXPENSES-ELEVATORS-MAINTENANCE CONTRACTS"/><s v="REAL EXPENSES-ELEVATORS-CONSUMABLES"/><s v="REAL EXPENSES-GENERAL CONSUMABLES"/><s v="REAL EXPENSES-MANPOWER (O&amp;M)"/><s v="REAL EXPENSES-MANPOWER(MANAGEMENT)"/><s v="REAL EXPENSES-JANITORIAL-CONTRACTS"/><s v="REAL EXPENSES-FACADE CLEANING-CONTRACTS"/><s v="REAL EXPENSES-LANDSAPING"/><s v="REAL EXPENSES-SECURITY-MAINTENANCE CONTRACTS"/><s v="REAL EXPENSES-DELIVERY BOY-MAINTENANCE CONTRACTS"/><s v="REAL EXPENSES-FIRE ALARM-SPARE PARTS"/><s v="REAL EXPENSES-UNFORESEEN"/><s v="REAL EXPENSE- BANK CHARGES-FRESH $ ACCT"/><s v="REAL EXPENSES-PAYMENTS ELECTRICITY"/><s v="REAL EXPENSES- FUEL GENERAL"/><s v="REAL EXPENSES-FUEL/BOILER"/><s v="REAL EXPENSES-PAYMENTS ADDITIONAL WATER FILL"/><s v="REAL EXPENSES - MISCELLANEOUS CONSUMABLES"/><s v="REAL EXPENSES-PUMPS SPARE PARTS-VAT"/><s v="REAL EXPENSES-GENERATORS-SPARE PARTS-VAT"/><s v="REAL EXPENSES-GENERAL CONSUMABLES-VAT"/><s v="REAL EXPENSES-MANPOWER (O&amp;M)-VAT"/><s v="REAL EXPENSES-MANPOWER(MANAGEMENT)-VAT"/><s v="REAL EXPENSES-JANITORIAL-CONTRACTS-VAT"/><s v="REAL EXPENSES-LANDSAPING-VAT"/><s v="REAL EXPENSES-FIRE ALARM-SPARE PARTS-VAT"/><s v="REAL EXPENSES-UNFORESEEN-VAT"/><s v="REAL EXPENSES-PAYMENTS ELECTRICITY-VAT"/><s v="Miscellaneous - Consumables"/></sharedItems></cacheField><cacheField name="Date" numFmtId="14"><sharedItems containsSemiMixedTypes="0" containsDate="1" containsString="0"><d v="2026-02-20T00:00:00Z"/><d v="2026-01-29T00:00:00Z"/><d v="2026-03-05T00:00:00Z"/><d v="2026-02-13T00:00:00Z"/><d v="2026-02-18T00:00:00Z"/><d v="2026-03-23T00:00:00Z"/><d v="2026-02-24T00:00:00Z"/><d v="2026-03-09T00:00:00Z"/><d v="2026-01-27T00:00:00Z"/><d v="2026-03-10T00:00:00Z"/><d v="2026-01-19T00:00:00Z"/><d v="2026-02-02T00:00:00Z"/><d v="2026-02-03T00:00:00Z"/><d v="2026-02-26T00:00:00Z"/><d v="2026-03-11T00:00:00Z"/><d v="2026-03-26T00:00:00Z"/><d v="2026-03-27T00:00:00Z"/><d v="2026-01-22T00:00:00Z"/><d v="2026-01-31T00:00:00Z"/><d v="2026-02-28T00:00:00Z"/><d v="2026-03-31T00:00:00Z"/><d v="2026-03-03T00:00:00Z"/><d v="2026-01-30T00:00:00Z"/><d v="2026-03-30T00:00:00Z"/><d v="2026-02-19T00:00:00Z"/><d v="2026-03-18T00:00:00Z"/><d v="2026-03-04T00:00:00Z"/><d v="2026-03-16T00:00:00Z"/></sharedItems></cacheField><cacheField name="Type" numFmtId="0"><sharedItems><s v="JV"/></sharedItems></cacheField><cacheField name="Jv.No." numFmtId="0"><sharedItems containsSemiMixedTypes="0" containsString="0" containsNumber="1" containsInteger="1"><n v="675.0"/><n v="385.0"/><n v="386.0"/><n v="387.0"/><n v="723.0"/><n v="473.0"/><n v="671.0"/><n v="677.0"/><n v="973.0"/><n v="974.0"/><n v="689.0"/><n v="731.0"/><n v="388.0"/><n v="360.0"/><n v="384.0"/><n v="724.0"/><n v="725.0"/><n v="733.0"/><n v="666.0"/><n v="322.0"/><n v="323.0"/><n v="324.0"/><n v="325.0"/><n v="326.0"/><n v="366.0"/><n v="410.0"/><n v="406.0"/><n v="407.0"/><n v="409.0"/><n v="411.0"/><n v="414.0"/><n v="415.0"/><n v="416.0"/><n v="418.0"/><n v="419.0"/><n v="420.0"/><n v="412.0"/><n v="413.0"/><n v="427.0"/><n v="428.0"/><n v="429.0"/><n v="430.0"/><n v="431.0"/><n v="471.0"/><n v="652.0"/><n v="653.0"/><n v="654.0"/><n v="655.0"/><n v="656.0"/><n v="657.0"/><n v="658.0"/><n v="659.0"/><n v="660.0"/><n v="661.0"/><n v="662.0"/><n v="663.0"/><n v="664.0"/><n v="667.0"/><n v="668.0"/><n v="669.0"/><n v="695.0"/><n v="697.0"/><n v="698.0"/><n v="752.0"/><n v="753.0"/><n v="751.0"/><n v="748.0"/><n v="749.0"/><n v="750.0"/><n v="980.0"/><n v="981.0"/><n v="982.0"/><n v="983.0"/><n v="984.0"/><n v="985.0"/><n v="990.0"/><n v="986.0"/><n v="987.0"/><n v="988.0"/><n v="989.0"/><n v="991.0"/><n v="992.0"/><n v="993.0"/><n v="994.0"/><n v="995.0"/><n v="996.0"/><n v="999.0"/><n v="1000.0"/><n v="1001.0"/><n v="344.0"/><n v="343.0"/><n v="650.0"/><n v="681.0"/><n v="924.0"/><n v="937.0"/><n v="1017.0"/><n v="1221.0"/><n v="680.0"/><n v="718.0"/><n v="472.0"/><n v="425.0"/><n v="963.0"/><n v="1219.0"/><n v="372.0"/><n v="715.0"/><n v="1003.0"/><n v="362.0"/><n v="424.0"/><n v="417.0"/><n v="665.0"/><n v="673.0"/><n v="712.0"/><n v="938.0"/><n v="404.0"/><n v="722.0"/><n v="931.0"/><n v="726.0"/><n v="470.0"/><n v="754.0"/><n v="1206.0"/><n v="444.0"/><n v="746.0"/><n v="1028.0"/><n v="361.0"/><n v="400.0"/><n v="701.0"/><n v="1218.0"/></sharedItems></cacheField><cacheField name="Reference"><sharedItems containsDate="1" containsMixedTypes="1"><s v="Lawyer Fees"/><d v="2026-01-09T00:00:00Z"/><s v="SLA-26000229"/><s v="SLA-26000228"/><s v="1001503/2026"/><n v="153.0"/><n v="90.0"/><n v="1695.0"/><n v="501.0"/><n v="504.0"/><s v="INV26_000050"/><s v="ZKIN26_000135"/><n v="260027.0"/><n v="260030.0"/><n v="260003.0"/><n v="260072.0"/><n v="260058.0"/><n v="260071.0"/><s v="Recharge"/><n v="231.0"/><s v="I-4669395/R60"/><d v="2026-01-12T00:00:00Z"/><n v="1240.0"/><n v="1223.0"/><n v="945.0"/><d v="2026-01-28T00:00:00Z"/><d v="2026-01-27T00:00:00Z"/><n v="245.0"/><n v="947.0"/><n v="1246.0"/><s v="I-4669480/R60"/><s v="I-4669559/R60"/><n v="2560.0"/><n v="4.0"/><n v="8356.0"/><s v="20-1-26/Tools"/><d v="2026-01-20T00:00:00Z"/><d v="2026-01-15T00:00:00Z"/><n v="855.0"/><n v="874.0"/><n v="875.0"/><n v="869.0"/><n v="889.0"/><n v="84.0"/><d v="2026-01-30T00:00:00Z"/><d v="2026-02-03T00:00:00Z"/><d v="2026-02-04T00:00:00Z"/><d v="2026-01-31T00:00:00Z"/><d v="2026-02-13T00:00:00Z"/><d v="2026-01-29T00:00:00Z"/><d v="2026-02-05T00:00:00Z"/><s v="3-2-26/Abo Alaa"/><s v="Abo Alaa-3-2-26"/><d v="2026-02-06T00:00:00Z"/><d v="2026-02-10T00:00:00Z"/><s v="10-2-26-"/><s v="Maher Shop"/><n v="1003688.0"/><s v="SO-005-00041"/><s v="I-4669632/R60"/><n v="148.0"/><n v="119.0"/><n v="949.0"/><s v="945-H.H"/><n v="963.0"/><n v="812.0"/><n v="901.0"/><n v="904.0"/><s v="I-4669959/R60"/><s v="I-4669853/R60"/><s v="I-4669786/R60"/><s v="I-4670012/R60"/><d v="2026-02-18T00:00:00Z"/><d v="2026-02-26T00:00:00Z"/><d v="2026-03-18T00:00:00Z"/><d v="2026-03-26T00:00:00Z"/><d v="2026-03-03T00:00:00Z"/><n v="32168.0"/><n v="21.0"/><d v="2026-02-23T00:00:00Z"/><s v="Dabbous"/><d v="2026-02-27T00:00:00Z"/><s v="Dabbous-"/><n v="41.0"/><n v="294.0"/><n v="252.0"/><n v="300.0"/><s v="162 SMS"/><s v="161 SMS"/><n v="13088.0"/><s v="006-2026"/><s v="022-2026"/><n v="13134.0"/><n v="13179.0"/><s v="044-2026"/><n v="8917.0"/><s v="26SPI000250"/><s v="S1/2026/24"/><s v="S1/2026/14"/><s v="S1/2026/42"/><s v="S1/2026/65"/><s v="Salary-Jan26"/><s v="Salary-Feb26"/><s v="Salary-March26"/><n v="31.0"/><s v="S00526PI000188"/><s v="S00526PI000414"/><n v="292.0"/><n v="38.0"/><s v="513TO533-184k$"/><s v="Col ch$44012"/><s v="409to533 722$"/><s v="Oct,Nov&amp;Dec-25"/><s v="Consmpt.Jan-26"/><s v="Consmpt.Feb-26"/><s v="Consmpt.Mar-26"/><n v="500830.0"/><n v="500874.0"/><n v="500888.0"/><n v="12633.0"/><n v="425.0"/><n v="12899.0"/><n v="13167.0"/></sharedItems></cacheField><cacheField name="Description" numFmtId="0"><sharedItems><s v="Fadel  Abou Taher/Lawyer Fees/13-2-26/CH-$"/><s v="Cool Energy/Pressure Test/9-1-26/CH-$"/><s v="Ibrahim Tabsch/SLA-26000229/Pumps Spare Parts/16-1-26/CH-$"/><s v="Ibrahim Tabsch/SLA-26000228/Pumps Spare Parts/16-1-26/CH-$"/><s v="Upstream-100503/2026-Pump,Lathe&amp;Seal/27-2-26/CH-$"/><s v="Hydrau Tech/153/Acid Powder&amp;Chlorine/2-2-26/CH-$"/><s v="Ziad Shawaf/90/Water Treatment/13-2-26/CH-$"/><s v="Hydrautech/153/Dichloro&amp;Acid Powder/2-2-26/CH-$"/><s v="HydrauTech/501/Acid Powder/2-3-26/CH-$"/><s v="HydrauTech/504/Hose Connector/6-3-26/CH-$"/><s v="M.Jallad/INV26_000050/Seal Ring&amp;Sensor/8-1-26/CH-$"/><s v="M.Jallad-ZKIN26_000135-Coolant/19-2-26/CH-$"/><s v="EEE/260027/1st Quarter Mnt Cntract-2026/19-1-26/CH-$"/><s v="EEE/260030/Consumables/21-1-26/CH-$"/><s v="EEE/260003/Supply&amp;Install New Lop/7-1-26/CH-$"/><s v="EEE/260072/Supply&amp;Install Door Lock/26-2-26/CH-$"/><s v="EEE/260058/Repair LOP Power/23-2-26/CH-$"/><s v="EEE/260071/Repairing Traction Sheave/26-2-26/CH-$"/><s v="Wish/Recharge Landline/2-2-26/CH-LL"/><s v="Ahmad Chahine/231/Service Charges/6-1-26/CH-$"/><s v="Sohat Dist./I-4669395/R60-22 Water Galon/12-1-25/CH-$"/><s v="Hassan Saab/Electrical Heaters/12-1-26/CH-$"/><s v="Abo Alaa/1240/Consumables/8-1-26/CH-$"/><s v="Abo Alaa/1223/Consumables/6-1-26/CH-$"/><s v="HydroPro/945/Consumables/13-1-26/CH-$"/><s v="Abo Alaa/Brushes/28-1-26/CH-$"/><s v="Abo Alaa/Silicone&amp;Braven/27-1-26/CH-$"/><s v="Ahmad Chahine/245/Service Charge/28-1-26/CH-$"/><s v="Hassan Husseini/947/Plug&amp;Socket/27-1-26/CH-$"/><s v="Abo Alaa/Consumables/12-1-26/CH-$"/><s v="Sohat Dist./I-4669480/R60-22 Water Galon/19-1-25/CH-$"/><s v="Sohat Dist./I-4669559/R60-28 Water Galon/27-1-25/CH-$"/><s v="Dahua IP Camera-Screen Star Sat/CH-$"/><s v="Deo Group/04/Bottle Perfume/15-1-26/CH-$"/><s v="Electric/8356/Smart TV/19-1-26/CH-$"/><s v="Cleaning&amp;Cleaning Tools/20-1-26/CH-$"/><s v="Abo Alaa/Consumables/20-1-26/CH-$"/><s v="Abo Alaa/Consumables/15-1-26/CH-$"/><s v="Hassan Husseini/855/Lamp/13-1-26/CH-$"/><s v="Hassan Husseini/874/Cable/14-1-26/CH-$"/><s v="Hassan Husseini/875/Breaker/14-1-26/CH-$"/><s v="Hassan Husseini/869/LED/14-1-26/CH-$"/><s v="Hassan Husseini/889/Breaker/15-1-26/CH-$"/><s v="Ziad Shawaf/84/Consumables/31-1-26/CH-$"/><s v="Abo Alaa/Consumables/30-1-26/CH-$"/><s v="Abo Alaa/Consumables/3-2-26/CH-$"/><s v="Abo Alaa/Consumables/4-2-26/CH-$"/><s v="Abo Alaa/Consumables/31-1-26/CH-$"/><s v="Abo Alaa/Consumables/13-2-26/CH-$"/><s v="Abo Alaa/Consumables/29-1-26/CH-$"/><s v="Abo Alaa/Consumables/5-2-26/CH-$"/><s v="Abo Alaa/Consumables/6-2-26/CH-$"/><s v="Abo Alaa/Consumables/10-2-26/CH-$"/><s v="Maher Music Shop/Playlist &amp;USB/CH-$"/><s v="Akar&amp;Tabet/1003688/Adapter&amp;Bend/6-2-26/CH-$"/><s v="Ecomat Universal Soft Close/SO-005-00041/11-2-26/CH-$"/><s v="Sohat Dist./I-4669632/R60-26 Water Galon/3-2-25/CH-$"/><s v="Rolling/00090/Garbage Bag/19-1-26/CH-$"/><s v="Rolling/148/Interfold,Soap&amp;Garbage Bag/27-1-26/CH-$"/><s v="Rolling/119/Interfold,Soap&amp;Garbage Bag/22-1-26/CH-$"/><s v="Hassan Hussieni/949/Battery/27-1-26/CH-$"/><s v="Hassan Hussieni/945/Power Supply/27-1-26/CH-$"/><s v="Hassan Hussieni/963/Consumables/29-1-26/CH-$"/><s v="Hassan Hussieni/812/LED LAmp/6-1-26/CH-$"/><s v="Hassan Hussieni/901/COnsumables/20-1-26/CH-$"/><s v="Hassan Hussieni/904/Power Supply/20-1-26/CH-$"/><s v="Sohat Dist./I-4669959/R60-24 Water Galon/9-3-25/CH-$"/><s v="Sohat Dist./I-4669853/R60-22 Water Galon/23-2-25/CH-$"/><s v="Sohat Dist./I-4669786/R60-29 Water Galon/16-2-25/CH-$"/><s v="Sohat Dist./I-4670012/R60-24 Water Galon/16-3-25/CH-$"/><s v="Maher Music Shop/USB&amp;Playsit/18-2-26/CH-$"/><s v="Maher Music Shop/USB&amp;Playsit/26-2-26/CH-$"/><s v="H.K.Electric/Handy Panasonic Black/18-3-26/CH-$"/><s v="Toilet Set For Bathroom/26-3-26/CH-$"/><s v="Deo Group/Entrance Perfume Fresh Air/3-3-26/CH-$"/><s v="Hajj Electronic/Cooler For Gym/16-3-26/CH-$"/><s v="Boulos Khattar/21/LNB/26-2-26/CH-$"/><s v="Abo Alaa/Consumables/23-2-26/CH-$"/><s v="Dabbous/Consumablles/3-3-26/CH-$"/><s v="Dabbous/Patex 1KG/3-3-26/CH-$"/><s v="Dabbous/Consumables/27-2-26/CH-$"/><s v="Lamar/41/Screen&amp;Stand For TV/23-3-26/CH-$"/><s v="Rolling/294/Interfold,Soap&amp;Glass Cleaner/24-2-26/CH-$"/><s v="Rolling/252/Motoclean&amp;Plastic Cups/16-2-26/CH-$"/><s v="Rolling/300/Waste Bin Stainless Steel/26-2-26/CH-$"/><s v="SMS/162/Q1/MAINTENANCE FEES/20-1-2026"/><s v="SMS/161/Q1/MANAGMENT FEES/20-1-2026"/><s v="Master Team/13088/Cleaning/Jan-26/31-1-26/CH-$"/><s v="Zone15/006-2026/Cleaning/Jan-26/31-1-26/CH-$"/><s v="Zone15/022-2026/Cleaning/Feb-26/28-2-26/CH-$"/><s v="Master Team/13134/Cleaning/Feb-26/28-2-26/CH-$"/><s v="Master Team/13179/Cleaning/March-26/31-3-26/CH-$"/><s v="Zone15/044-2026/Cleaning/March-26/31-3-26/CH-$"/><s v="Magic Services/8917/Glass Cleaning/8-2-26/CH-$"/><s v="Exotica/26SPI000250/Mnt Charges From Jan Till June-2026/CH-$"/><s v="Forearms-S1/2026/24-Security Fees/Jan-26/30-1-26/CH-$"/><s v="Forearms-S1/2026/14-Security Fees/Jan-26/26-1-26/CH-$"/><s v="Forearms-S1/2026/42-Security Fees/Feb-26/26-2-26/CH-$"/><s v="Forearms-S1/2026/65-Security Fees/March-26/29-3-26/CH-$"/><s v="Salary For Walid Khaibour-BMU Driver-JAN-2026/CH-$"/><s v="Salary For Walid Khaibour-BMU Driver-FEB-2026/CH-$"/><s v="Salary For Walid Khaibour-BMU Driver-March-2026/CH-$"/><s v="Resco/00041/Repairing Loop Card/21-1-26/CH-$"/><s v="Resco/00031/Mnt Charges From 1-1-26 To 31-12-26/CH-$"/><s v="Tinol/S00526PI000188/Paints/21-1-26/CH-$"/><s v="Tinol/S00526PI000414/Paints/13-2-26/CH-$"/><s v="Ossaily Group/292/Mnt&amp;Art Works/5-2-26/CH-$"/><s v="Ramadan Eid Bonus For Employees/26-2-26/CH-$"/><s v="Ossaily Group/38/Consumables/16-3-26/CH-$"/><s v="BANK CHARGES-FRESH $ ACCT"/><s v="charges on cheque collection no.44012"/><s v="bank charges"/><s v="EDL/Oct,Nov&amp;Dec-25/Subs:60107/19-2-26/CH-$"/><s v="Diesel Private Consumption-Jan-26"/><s v="Diesel Common Area Consumption-Jan-26"/><s v="Diesel Common Area Consumption-Feb-26"/><s v="Diesel Private Consumption-Feb-26"/><s v="Diesel Common Area Consumption-March-26"/><s v="Diesel Private Consumption-March-26"/><s v="Boiler Consumption-Jan-26"/><s v="Boiler Consumption-Feb-26"/><s v="Boiler Consumption-March-26"/><s v="Pure Water/500830/55 Water Tank/Jan-26/31-1-26/CH-$"/><s v="Pure Water/500874/112 Water Tank/Feb-26/28-2-26/CH-$"/><s v="Pure Water/500888/154 Water Tank/March-26/31-3-26/CH-$"/><s v="Verde/12633/Waste Collection/5-1-26/CH-$"/><s v="Elie Khoury/425/Consumables/23-1-26/CH-$"/><s v="Verde/12899/Waste Collection/5-2-26/CH-$"/><s v="Verde/13167/Waste Collection/5-3-26/CH-$"/></sharedItems></cacheField><cacheField name="Cur" numFmtId="0"><sharedItems><s v="usdF"/><s v="LBP"/></sharedItems></cacheField><cacheField name="Debit" numFmtId="4"><sharedItems containsSemiMixedTypes="0" containsString="0" containsNumber="1"><n v="2900.0"/><n v="150.0"/><n v="475.0"/><n v="1150.0"/><n v="1200.0"/><n v="545.0"/><n v="320.0"/><n v="800.0"/><n v="1450.0"/><n v="50.0"/><n v="1704.68"/><n v="78.75"/><n v="4356.75"/><n v="499.5"/><n v="466.2"/><n v="66.6"/><n v="99.9"/><n v="4803000.0"/><n v="30.0"/><n v="39.64"/><n v="60.0"/><n v="27.0"/><n v="184.0"/><n v="14.0"/><n v="54.0"/><n v="7.0"/><n v="50.45"/><n v="113.0"/><n v="120.0"/><n v="100.0"/><n v="40.0"/><n v="13.0"/><n v="5.0"/><n v="24.0"/><n v="41.75"/><n v="179.5"/><n v="225.0"/><n v="128.0"/><n v="20.0"/><n v="3.0"/><n v="28.0"/><n v="12.0"/><n v="36.0"/><n v="18.0"/><n v="42.0"/><n v="4.0"/><n v="188.8"/><n v="35.0"/><n v="46.85"/><n v="190.09"/><n v="614.41"/><n v="115.0"/><n v="13.5"/><n v="45.0"/><n v="106.0"/><n v="253.0"/><n v="121.92"/><n v="22.0"/><n v="43.24"/><n v="52.25"/><n v="84.0"/><n v="8.0"/><n v="83.0"/><n v="110.0"/><n v="447.0"/><n v="70.0"/><n v="39750.0"/><n v="20000.0"/><n v="1650.0"/><n v="7050.0"/><n v="500.0"/><n v="1675.0"/><n v="200.0"/><n v="19130.0"/><n v="22726.91"/><n v="600.0"/><n v="140.3"/><n v="3000.0"/><n v="365.62"/><n v="27.38"/><n v="900.0"/><n v="4500.0"/><n v="5200.0"/><n v="920.22"/><n v="69.2"/><n v="3.61"/><n v="56456.13"/><n v="28148.67"/><n v="41296.13"/><n v="34374.65"/><n v="22785.15"/><n v="36949.98"/><n v="22336.21"/><n v="10574.84"/><n v="8101.34"/><n v="17129.76"/><n v="6490.0"/><n v="6160.0"/><n v="10780.0"/><n v="450.0"/><n v="629.0"/><n v="126.5"/><n v="132.0"/><n v="187.51"/><n v="8.66"/><n v="4.36"/><n v="5.55"/><n v="20.77"/><n v="5.15"/><n v="20.91"/><n v="67.59"/><n v="12.65"/><n v="4.76"/><n v="5.75"/><n v="49.17"/><n v="7.7"/><n v="4.62"/><n v="4372.5"/><n v="2200.0"/><n v="775.5"/><n v="181.5"/><n v="184.25"/><n v="15.43"/><n v="330.0"/><n v="40.22"/><n v="3.01"/><n v="6210.05"/><n v="49.5"/></sharedItems></cacheField><cacheField name="Credit" numFmtId="0"><sharedItems containsSemiMixedTypes="0" containsString="0" containsNumber="1" containsInteger="1"><n v="0.0"/></sharedItems></cacheField><cacheField name="Amount" numFmtId="4"><sharedItems containsSemiMixedTypes="0" containsString="0" containsNumber="1"><n v="2900.0"/><n v="150.0"/><n v="475.0"/><n v="1150.0"/><n v="1200.0"/><n v="545.0"/><n v="320.0"/><n v="800.0"/><n v="1450.0"/><n v="50.0"/><n v="1704.68"/><n v="78.75"/><n v="4356.75"/><n v="499.5"/><n v="466.2"/><n v="66.6"/><n v="99.9"/><n v="4803000.0"/><n v="30.0"/><n v="39.64"/><n v="60.0"/><n v="27.0"/><n v="184.0"/><n v="14.0"/><n v="54.0"/><n v="7.0"/><n v="50.45"/><n v="113.0"/><n v="120.0"/><n v="100.0"/><n v="40.0"/><n v="13.0"/><n v="5.0"/><n v="24.0"/><n v="41.75"/><n v="179.5"/><n v="225.0"/><n v="128.0"/><n v="20.0"/><n v="3.0"/><n v="28.0"/><n v="12.0"/><n v="36.0"/><n v="18.0"/><n v="42.0"/><n v="4.0"/><n v="188.8"/><n v="35.0"/><n v="46.85"/><n v="190.09"/><n v="614.41"/><n v="115.0"/><n v="13.5"/><n v="45.0"/><n v="106.0"/><n v="253.0"/><n v="121.92"/><n v="22.0"/><n v="43.24"/><n v="52.25"/><n v="84.0"/><n v="8.0"/><n v="83.0"/><n v="110.0"/><n v="447.0"/><n v="70.0"/><n v="39750.0"/><n v="20000.0"/><n v="1650.0"/><n v="7050.0"/><n v="500.0"/><n v="1675.0"/><n v="200.0"/><n v="19130.0"/><n v="22726.91"/><n v="600.0"/><n v="140.3"/><n v="3000.0"/><n v="365.62"/><n v="27.38"/><n v="900.0"/><n v="4500.0"/><n v="5200.0"/><n v="920.22"/><n v="69.2"/><n v="3.61"/><n v="56456.13"/><n v="28148.67"/><n v="41296.13"/><n v="34374.65"/><n v="22785.15"/><n v="36949.98"/><n v="22336.21"/><n v="10574.84"/><n v="8101.34"/><n v="17129.76"/><n v="6490.0"/><n v="6160.0"/><n v="10780.0"/><n v="450.0"/><n v="629.0"/><n v="126.5"/><n v="132.0"/><n v="187.51"/><n v="8.66"/><n v="4.36"/><n v="5.55"/><n v="20.77"/><n v="5.15"/><n v="20.91"/><n v="67.59"/><n v="12.65"/><n v="4.76"/><n v="5.75"/><n v="49.17"/><n v="7.7"/><n v="4.62"/><n v="4372.5"/><n v="2200.0"/><n v="775.5"/><n v="181.5"/><n v="184.25"/><n v="15.43"/><n v="330.0"/><n v="40.22"/><n v="3.01"/><n v="6210.05"/><n v="49.5"/></sharedItems></cacheField></cacheFields>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al Expenses Jan - March 2026" cacheId="0" dataCaption="" colGrandTotals="0" compact="0" compactData="0">
  <location ref="A3:D39" firstHeaderRow="0" firstDataRow="2" firstDataCol="1"/>
  <pivotFields>
    <pivotField name="Acc.No.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name="Aux." compact="0" outline="0" multipleItemSelectionAllowed="1" showAll="0">
      <items>
        <item x="0"/>
        <item t="default"/>
      </items>
    </pivotField>
    <pivotField name="Name" axis="axisRow" compact="0" outline="0" multipleItemSelectionAllowed="1" showAll="0" sortType="ascending">
      <items>
        <item x="33"/>
        <item x="17"/>
        <item x="22"/>
        <item x="19"/>
        <item x="14"/>
        <item x="6"/>
        <item x="5"/>
        <item x="11"/>
        <item x="15"/>
        <item x="30"/>
        <item x="20"/>
        <item x="7"/>
        <item x="25"/>
        <item x="4"/>
        <item x="24"/>
        <item x="1"/>
        <item x="10"/>
        <item x="28"/>
        <item x="12"/>
        <item x="29"/>
        <item x="0"/>
        <item x="8"/>
        <item x="26"/>
        <item x="9"/>
        <item x="27"/>
        <item x="21"/>
        <item x="18"/>
        <item x="32"/>
        <item x="2"/>
        <item x="23"/>
        <item x="13"/>
        <item x="16"/>
        <item x="31"/>
        <item x="3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Jv.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ur" axis="axisCol" compact="0" outline="0" multipleItemSelectionAllowed="1" showAll="0" sortType="ascending">
      <items>
        <item x="1"/>
        <item x="0"/>
        <item t="default"/>
      </items>
    </pivotField>
    <pivotField name="Deb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Credit" compact="0" outline="0" multipleItemSelectionAllowed="1" showAll="0">
      <items>
        <item x="0"/>
        <item t="default"/>
      </items>
    </pivotField>
    <pivotField name="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>
    <field x="0"/>
    <field x="2"/>
  </rowFields>
  <colFields>
    <field x="8"/>
  </colFields>
  <dataFields>
    <dataField name="Sum of Amount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14"/>
    <col customWidth="1" min="2" max="2" width="20.86"/>
    <col customWidth="1" min="3" max="3" width="31.57"/>
    <col customWidth="1" min="4" max="4" width="40.0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>
        <f>SUM(B3:B6)</f>
        <v>265290</v>
      </c>
      <c r="C2" s="6"/>
    </row>
    <row r="3">
      <c r="A3" s="7" t="s">
        <v>5</v>
      </c>
      <c r="B3" s="8">
        <v>176490.0</v>
      </c>
      <c r="C3" s="9" t="s">
        <v>6</v>
      </c>
      <c r="D3" s="10" t="s">
        <v>7</v>
      </c>
    </row>
    <row r="4">
      <c r="A4" s="11"/>
      <c r="B4" s="11"/>
      <c r="C4" s="12" t="s">
        <v>8</v>
      </c>
      <c r="D4" s="10" t="s">
        <v>7</v>
      </c>
    </row>
    <row r="5">
      <c r="A5" s="7" t="s">
        <v>9</v>
      </c>
      <c r="B5" s="8">
        <v>88800.0</v>
      </c>
      <c r="C5" s="9" t="s">
        <v>10</v>
      </c>
      <c r="D5" s="10" t="s">
        <v>7</v>
      </c>
    </row>
    <row r="6">
      <c r="A6" s="11"/>
      <c r="B6" s="11"/>
      <c r="C6" s="12" t="s">
        <v>11</v>
      </c>
      <c r="D6" s="10" t="s">
        <v>7</v>
      </c>
    </row>
    <row r="7">
      <c r="A7" s="10" t="s">
        <v>7</v>
      </c>
      <c r="B7" s="13">
        <f>SUM(B8:B23)</f>
        <v>386946</v>
      </c>
      <c r="C7" s="14"/>
    </row>
    <row r="8">
      <c r="A8" s="7" t="s">
        <v>12</v>
      </c>
      <c r="B8" s="8">
        <v>236091.0</v>
      </c>
      <c r="C8" s="9" t="s">
        <v>13</v>
      </c>
      <c r="D8" s="10" t="s">
        <v>14</v>
      </c>
    </row>
    <row r="9">
      <c r="A9" s="11"/>
      <c r="B9" s="11"/>
      <c r="C9" s="12" t="s">
        <v>15</v>
      </c>
      <c r="D9" s="10" t="s">
        <v>14</v>
      </c>
    </row>
    <row r="10">
      <c r="A10" s="7" t="s">
        <v>16</v>
      </c>
      <c r="B10" s="8">
        <v>93240.0</v>
      </c>
      <c r="C10" s="9" t="s">
        <v>17</v>
      </c>
      <c r="D10" s="10" t="s">
        <v>14</v>
      </c>
    </row>
    <row r="11">
      <c r="A11" s="11"/>
      <c r="B11" s="11"/>
      <c r="C11" s="12" t="s">
        <v>18</v>
      </c>
      <c r="D11" s="10" t="s">
        <v>14</v>
      </c>
    </row>
    <row r="12">
      <c r="A12" s="7" t="s">
        <v>19</v>
      </c>
      <c r="B12" s="8">
        <v>6600.0</v>
      </c>
      <c r="C12" s="9" t="s">
        <v>20</v>
      </c>
      <c r="D12" s="10" t="s">
        <v>14</v>
      </c>
    </row>
    <row r="13">
      <c r="A13" s="11"/>
      <c r="B13" s="11"/>
      <c r="C13" s="12" t="s">
        <v>21</v>
      </c>
      <c r="D13" s="10" t="s">
        <v>14</v>
      </c>
    </row>
    <row r="14">
      <c r="A14" s="7" t="s">
        <v>22</v>
      </c>
      <c r="B14" s="8">
        <v>23976.0</v>
      </c>
      <c r="C14" s="9" t="s">
        <v>23</v>
      </c>
      <c r="D14" s="10" t="s">
        <v>14</v>
      </c>
    </row>
    <row r="15">
      <c r="A15" s="11"/>
      <c r="B15" s="11"/>
      <c r="C15" s="12" t="s">
        <v>24</v>
      </c>
      <c r="D15" s="10" t="s">
        <v>14</v>
      </c>
    </row>
    <row r="16">
      <c r="A16" s="7" t="s">
        <v>25</v>
      </c>
      <c r="B16" s="8">
        <v>3719.0</v>
      </c>
      <c r="C16" s="9" t="s">
        <v>26</v>
      </c>
      <c r="D16" s="10" t="s">
        <v>14</v>
      </c>
    </row>
    <row r="17">
      <c r="A17" s="11"/>
      <c r="B17" s="11"/>
      <c r="C17" s="12" t="s">
        <v>27</v>
      </c>
      <c r="D17" s="10" t="s">
        <v>14</v>
      </c>
    </row>
    <row r="18">
      <c r="A18" s="7" t="s">
        <v>28</v>
      </c>
      <c r="B18" s="8">
        <v>7920.0</v>
      </c>
      <c r="C18" s="9" t="s">
        <v>29</v>
      </c>
      <c r="D18" s="10" t="s">
        <v>14</v>
      </c>
    </row>
    <row r="19">
      <c r="A19" s="11"/>
      <c r="B19" s="11"/>
      <c r="C19" s="12" t="s">
        <v>30</v>
      </c>
      <c r="D19" s="10" t="s">
        <v>14</v>
      </c>
    </row>
    <row r="20">
      <c r="A20" s="7" t="s">
        <v>31</v>
      </c>
      <c r="B20" s="8">
        <v>3400.0</v>
      </c>
      <c r="C20" s="9" t="s">
        <v>32</v>
      </c>
      <c r="D20" s="10" t="s">
        <v>14</v>
      </c>
    </row>
    <row r="21" ht="15.75" customHeight="1">
      <c r="A21" s="11"/>
      <c r="B21" s="11"/>
      <c r="C21" s="12" t="s">
        <v>33</v>
      </c>
      <c r="D21" s="10" t="s">
        <v>14</v>
      </c>
    </row>
    <row r="22" ht="15.75" customHeight="1">
      <c r="A22" s="15" t="s">
        <v>34</v>
      </c>
      <c r="B22" s="16">
        <v>12000.0</v>
      </c>
      <c r="C22" s="17" t="s">
        <v>35</v>
      </c>
      <c r="D22" s="10" t="s">
        <v>14</v>
      </c>
    </row>
    <row r="23" ht="15.75" customHeight="1">
      <c r="A23" s="11"/>
      <c r="B23" s="11"/>
      <c r="C23" s="12" t="s">
        <v>36</v>
      </c>
      <c r="D23" s="10" t="s">
        <v>14</v>
      </c>
    </row>
    <row r="24" ht="15.75" customHeight="1">
      <c r="A24" s="10" t="s">
        <v>14</v>
      </c>
      <c r="B24" s="13">
        <f>SUM(B25:B30)</f>
        <v>149839</v>
      </c>
      <c r="C24" s="14"/>
    </row>
    <row r="25" ht="15.75" customHeight="1">
      <c r="A25" s="7" t="s">
        <v>37</v>
      </c>
      <c r="B25" s="8">
        <v>108295.0</v>
      </c>
      <c r="C25" s="9" t="s">
        <v>38</v>
      </c>
      <c r="D25" s="4" t="s">
        <v>39</v>
      </c>
    </row>
    <row r="26" ht="15.75" customHeight="1">
      <c r="A26" s="18"/>
      <c r="B26" s="18"/>
      <c r="C26" s="19" t="s">
        <v>40</v>
      </c>
      <c r="D26" s="4" t="s">
        <v>39</v>
      </c>
    </row>
    <row r="27" ht="15.75" customHeight="1">
      <c r="A27" s="18"/>
      <c r="B27" s="18"/>
      <c r="C27" s="19" t="s">
        <v>41</v>
      </c>
      <c r="D27" s="4" t="s">
        <v>39</v>
      </c>
    </row>
    <row r="28" ht="15.75" customHeight="1">
      <c r="A28" s="11"/>
      <c r="B28" s="11"/>
      <c r="C28" s="12" t="s">
        <v>42</v>
      </c>
      <c r="D28" s="4" t="s">
        <v>39</v>
      </c>
    </row>
    <row r="29" ht="15.75" customHeight="1">
      <c r="A29" s="15" t="s">
        <v>43</v>
      </c>
      <c r="B29" s="16">
        <v>41544.0</v>
      </c>
      <c r="C29" s="17" t="s">
        <v>44</v>
      </c>
      <c r="D29" s="4" t="s">
        <v>39</v>
      </c>
    </row>
    <row r="30" ht="15.75" customHeight="1">
      <c r="A30" s="20"/>
      <c r="B30" s="20"/>
      <c r="C30" s="17" t="s">
        <v>45</v>
      </c>
      <c r="D30" s="4" t="s">
        <v>39</v>
      </c>
    </row>
    <row r="31" ht="15.75" customHeight="1">
      <c r="A31" s="4" t="s">
        <v>39</v>
      </c>
      <c r="B31" s="5">
        <f>SUM(B32:B57)</f>
        <v>40336</v>
      </c>
      <c r="C31" s="6"/>
    </row>
    <row r="32" ht="15.75" customHeight="1">
      <c r="A32" s="7" t="s">
        <v>46</v>
      </c>
      <c r="B32" s="8">
        <v>0.0</v>
      </c>
      <c r="C32" s="9" t="s">
        <v>47</v>
      </c>
      <c r="D32" s="10" t="s">
        <v>48</v>
      </c>
    </row>
    <row r="33" ht="15.75" customHeight="1">
      <c r="A33" s="11"/>
      <c r="B33" s="11"/>
      <c r="C33" s="12" t="s">
        <v>49</v>
      </c>
      <c r="D33" s="10" t="s">
        <v>48</v>
      </c>
    </row>
    <row r="34" ht="15.75" customHeight="1">
      <c r="A34" s="7" t="s">
        <v>50</v>
      </c>
      <c r="B34" s="8">
        <v>17427.0</v>
      </c>
      <c r="C34" s="9" t="s">
        <v>51</v>
      </c>
      <c r="D34" s="10" t="s">
        <v>48</v>
      </c>
    </row>
    <row r="35" ht="15.75" customHeight="1">
      <c r="A35" s="11"/>
      <c r="B35" s="11"/>
      <c r="C35" s="12" t="s">
        <v>52</v>
      </c>
      <c r="D35" s="10" t="s">
        <v>48</v>
      </c>
    </row>
    <row r="36" ht="15.75" customHeight="1">
      <c r="A36" s="7" t="s">
        <v>53</v>
      </c>
      <c r="B36" s="8">
        <v>6660.0</v>
      </c>
      <c r="C36" s="9" t="s">
        <v>54</v>
      </c>
      <c r="D36" s="10" t="s">
        <v>48</v>
      </c>
    </row>
    <row r="37" ht="15.75" customHeight="1">
      <c r="A37" s="11"/>
      <c r="B37" s="11"/>
      <c r="C37" s="12" t="s">
        <v>55</v>
      </c>
      <c r="D37" s="10" t="s">
        <v>48</v>
      </c>
    </row>
    <row r="38" ht="15.75" customHeight="1">
      <c r="A38" s="7" t="s">
        <v>56</v>
      </c>
      <c r="B38" s="8">
        <v>0.0</v>
      </c>
      <c r="C38" s="9" t="s">
        <v>57</v>
      </c>
      <c r="D38" s="10" t="s">
        <v>48</v>
      </c>
    </row>
    <row r="39" ht="15.75" customHeight="1">
      <c r="A39" s="11"/>
      <c r="B39" s="11"/>
      <c r="C39" s="12" t="s">
        <v>58</v>
      </c>
      <c r="D39" s="10" t="s">
        <v>48</v>
      </c>
    </row>
    <row r="40" ht="15.75" customHeight="1">
      <c r="A40" s="7" t="s">
        <v>59</v>
      </c>
      <c r="B40" s="8">
        <v>2597.0</v>
      </c>
      <c r="C40" s="9" t="s">
        <v>60</v>
      </c>
      <c r="D40" s="10" t="s">
        <v>48</v>
      </c>
    </row>
    <row r="41" ht="15.75" customHeight="1">
      <c r="A41" s="11"/>
      <c r="B41" s="11"/>
      <c r="C41" s="12" t="s">
        <v>61</v>
      </c>
      <c r="D41" s="10" t="s">
        <v>48</v>
      </c>
    </row>
    <row r="42" ht="15.75" customHeight="1">
      <c r="A42" s="7" t="s">
        <v>62</v>
      </c>
      <c r="B42" s="8">
        <v>2775.0</v>
      </c>
      <c r="C42" s="9" t="s">
        <v>63</v>
      </c>
      <c r="D42" s="10" t="s">
        <v>48</v>
      </c>
    </row>
    <row r="43" ht="15.75" customHeight="1">
      <c r="A43" s="11"/>
      <c r="B43" s="11"/>
      <c r="C43" s="12" t="s">
        <v>64</v>
      </c>
      <c r="D43" s="10" t="s">
        <v>48</v>
      </c>
    </row>
    <row r="44" ht="15.75" customHeight="1">
      <c r="A44" s="7" t="s">
        <v>65</v>
      </c>
      <c r="B44" s="8">
        <v>3293.0</v>
      </c>
      <c r="C44" s="9" t="s">
        <v>66</v>
      </c>
      <c r="D44" s="10" t="s">
        <v>48</v>
      </c>
    </row>
    <row r="45" ht="15.75" customHeight="1">
      <c r="A45" s="11"/>
      <c r="B45" s="11"/>
      <c r="C45" s="12" t="s">
        <v>67</v>
      </c>
      <c r="D45" s="10" t="s">
        <v>48</v>
      </c>
    </row>
    <row r="46" ht="15.75" customHeight="1">
      <c r="A46" s="7" t="s">
        <v>68</v>
      </c>
      <c r="B46" s="8">
        <v>4089.0</v>
      </c>
      <c r="C46" s="9" t="s">
        <v>69</v>
      </c>
      <c r="D46" s="10" t="s">
        <v>48</v>
      </c>
    </row>
    <row r="47" ht="15.75" customHeight="1">
      <c r="A47" s="11"/>
      <c r="B47" s="11"/>
      <c r="C47" s="12" t="s">
        <v>70</v>
      </c>
      <c r="D47" s="10" t="s">
        <v>48</v>
      </c>
    </row>
    <row r="48" ht="15.75" customHeight="1">
      <c r="A48" s="7" t="s">
        <v>71</v>
      </c>
      <c r="B48" s="8">
        <v>850.0</v>
      </c>
      <c r="C48" s="9" t="s">
        <v>72</v>
      </c>
      <c r="D48" s="10" t="s">
        <v>48</v>
      </c>
    </row>
    <row r="49" ht="15.75" customHeight="1">
      <c r="A49" s="11"/>
      <c r="B49" s="11"/>
      <c r="C49" s="12" t="s">
        <v>73</v>
      </c>
      <c r="D49" s="10" t="s">
        <v>48</v>
      </c>
    </row>
    <row r="50" ht="15.75" customHeight="1">
      <c r="A50" s="7" t="s">
        <v>74</v>
      </c>
      <c r="B50" s="8">
        <v>220.0</v>
      </c>
      <c r="C50" s="9" t="s">
        <v>75</v>
      </c>
      <c r="D50" s="10" t="s">
        <v>48</v>
      </c>
    </row>
    <row r="51" ht="15.75" customHeight="1">
      <c r="A51" s="11"/>
      <c r="B51" s="11"/>
      <c r="C51" s="12" t="s">
        <v>76</v>
      </c>
      <c r="D51" s="10" t="s">
        <v>48</v>
      </c>
    </row>
    <row r="52" ht="15.75" customHeight="1">
      <c r="A52" s="7" t="s">
        <v>77</v>
      </c>
      <c r="B52" s="8">
        <v>125.0</v>
      </c>
      <c r="C52" s="9" t="s">
        <v>78</v>
      </c>
      <c r="D52" s="10" t="s">
        <v>48</v>
      </c>
    </row>
    <row r="53" ht="15.75" customHeight="1">
      <c r="A53" s="11"/>
      <c r="B53" s="11"/>
      <c r="C53" s="12" t="s">
        <v>79</v>
      </c>
      <c r="D53" s="10" t="s">
        <v>48</v>
      </c>
    </row>
    <row r="54" ht="15.75" customHeight="1">
      <c r="A54" s="7" t="s">
        <v>80</v>
      </c>
      <c r="B54" s="8">
        <v>300.0</v>
      </c>
      <c r="C54" s="9" t="s">
        <v>81</v>
      </c>
      <c r="D54" s="10" t="s">
        <v>48</v>
      </c>
    </row>
    <row r="55" ht="15.75" customHeight="1">
      <c r="A55" s="11"/>
      <c r="B55" s="11"/>
      <c r="C55" s="12" t="s">
        <v>82</v>
      </c>
      <c r="D55" s="10" t="s">
        <v>48</v>
      </c>
    </row>
    <row r="56" ht="15.75" customHeight="1">
      <c r="A56" s="7" t="s">
        <v>83</v>
      </c>
      <c r="B56" s="8">
        <v>2000.0</v>
      </c>
      <c r="C56" s="9" t="s">
        <v>84</v>
      </c>
      <c r="D56" s="10" t="s">
        <v>48</v>
      </c>
    </row>
    <row r="57" ht="15.75" customHeight="1">
      <c r="A57" s="11"/>
      <c r="B57" s="11"/>
      <c r="C57" s="12" t="s">
        <v>85</v>
      </c>
      <c r="D57" s="10" t="s">
        <v>48</v>
      </c>
    </row>
    <row r="58" ht="15.75" customHeight="1">
      <c r="A58" s="10" t="s">
        <v>48</v>
      </c>
      <c r="B58" s="13">
        <f>SUM(B59:B100)</f>
        <v>134868</v>
      </c>
      <c r="C58" s="14"/>
    </row>
    <row r="59" ht="15.75" customHeight="1">
      <c r="A59" s="7" t="s">
        <v>86</v>
      </c>
      <c r="B59" s="8">
        <v>79868.0</v>
      </c>
      <c r="C59" s="9" t="s">
        <v>87</v>
      </c>
      <c r="D59" s="10" t="s">
        <v>88</v>
      </c>
    </row>
    <row r="60" ht="15.75" customHeight="1">
      <c r="A60" s="18"/>
      <c r="B60" s="18"/>
      <c r="C60" s="19" t="s">
        <v>89</v>
      </c>
      <c r="D60" s="10" t="s">
        <v>88</v>
      </c>
    </row>
    <row r="61" ht="15.75" customHeight="1">
      <c r="A61" s="18"/>
      <c r="B61" s="18"/>
      <c r="C61" s="19" t="s">
        <v>90</v>
      </c>
      <c r="D61" s="10" t="s">
        <v>88</v>
      </c>
    </row>
    <row r="62" ht="15.75" customHeight="1">
      <c r="A62" s="11"/>
      <c r="B62" s="11"/>
      <c r="C62" s="12" t="s">
        <v>91</v>
      </c>
      <c r="D62" s="10" t="s">
        <v>88</v>
      </c>
    </row>
    <row r="63" ht="15.75" customHeight="1">
      <c r="A63" s="7" t="s">
        <v>92</v>
      </c>
      <c r="B63" s="8">
        <v>55000.0</v>
      </c>
      <c r="C63" s="21" t="s">
        <v>93</v>
      </c>
      <c r="D63" s="10" t="s">
        <v>88</v>
      </c>
    </row>
    <row r="64" ht="15.75" customHeight="1">
      <c r="A64" s="18"/>
      <c r="B64" s="18"/>
      <c r="C64" s="22" t="s">
        <v>94</v>
      </c>
      <c r="D64" s="10" t="s">
        <v>88</v>
      </c>
    </row>
    <row r="65" ht="15.75" customHeight="1">
      <c r="A65" s="18"/>
      <c r="B65" s="18"/>
      <c r="C65" s="22" t="s">
        <v>95</v>
      </c>
      <c r="D65" s="10" t="s">
        <v>88</v>
      </c>
    </row>
    <row r="66" ht="15.75" customHeight="1">
      <c r="A66" s="18"/>
      <c r="B66" s="18"/>
      <c r="C66" s="22" t="s">
        <v>96</v>
      </c>
      <c r="D66" s="10" t="s">
        <v>88</v>
      </c>
    </row>
    <row r="67" ht="15.75" customHeight="1">
      <c r="A67" s="18"/>
      <c r="B67" s="18"/>
      <c r="C67" s="22" t="s">
        <v>97</v>
      </c>
      <c r="D67" s="10" t="s">
        <v>88</v>
      </c>
    </row>
    <row r="68" ht="15.75" customHeight="1">
      <c r="A68" s="18"/>
      <c r="B68" s="18"/>
      <c r="C68" s="22" t="s">
        <v>98</v>
      </c>
      <c r="D68" s="10" t="s">
        <v>88</v>
      </c>
    </row>
    <row r="69" ht="15.75" customHeight="1">
      <c r="A69" s="18"/>
      <c r="B69" s="18"/>
      <c r="C69" s="22" t="s">
        <v>99</v>
      </c>
      <c r="D69" s="10" t="s">
        <v>88</v>
      </c>
    </row>
    <row r="70" ht="15.75" customHeight="1">
      <c r="A70" s="18"/>
      <c r="B70" s="18"/>
      <c r="C70" s="22" t="s">
        <v>100</v>
      </c>
      <c r="D70" s="10" t="s">
        <v>88</v>
      </c>
    </row>
    <row r="71" ht="15.75" customHeight="1">
      <c r="A71" s="18"/>
      <c r="B71" s="18"/>
      <c r="C71" s="22" t="s">
        <v>101</v>
      </c>
      <c r="D71" s="10" t="s">
        <v>88</v>
      </c>
    </row>
    <row r="72" ht="15.75" customHeight="1">
      <c r="A72" s="18"/>
      <c r="B72" s="18"/>
      <c r="C72" s="22" t="s">
        <v>102</v>
      </c>
      <c r="D72" s="10" t="s">
        <v>88</v>
      </c>
    </row>
    <row r="73" ht="15.75" customHeight="1">
      <c r="A73" s="18"/>
      <c r="B73" s="18"/>
      <c r="C73" s="22" t="s">
        <v>103</v>
      </c>
      <c r="D73" s="10" t="s">
        <v>88</v>
      </c>
    </row>
    <row r="74" ht="15.75" customHeight="1">
      <c r="A74" s="18"/>
      <c r="B74" s="18"/>
      <c r="C74" s="22" t="s">
        <v>104</v>
      </c>
      <c r="D74" s="10" t="s">
        <v>88</v>
      </c>
    </row>
    <row r="75" ht="15.75" customHeight="1">
      <c r="A75" s="18"/>
      <c r="B75" s="18"/>
      <c r="C75" s="22" t="s">
        <v>105</v>
      </c>
      <c r="D75" s="10" t="s">
        <v>88</v>
      </c>
    </row>
    <row r="76" ht="15.75" customHeight="1">
      <c r="A76" s="18"/>
      <c r="B76" s="18"/>
      <c r="C76" s="22" t="s">
        <v>106</v>
      </c>
      <c r="D76" s="10" t="s">
        <v>88</v>
      </c>
    </row>
    <row r="77" ht="15.75" customHeight="1">
      <c r="A77" s="18"/>
      <c r="B77" s="18"/>
      <c r="C77" s="22" t="s">
        <v>107</v>
      </c>
      <c r="D77" s="10" t="s">
        <v>88</v>
      </c>
    </row>
    <row r="78" ht="15.75" customHeight="1">
      <c r="A78" s="18"/>
      <c r="B78" s="18"/>
      <c r="C78" s="22" t="s">
        <v>108</v>
      </c>
      <c r="D78" s="10" t="s">
        <v>88</v>
      </c>
    </row>
    <row r="79" ht="15.75" customHeight="1">
      <c r="A79" s="18"/>
      <c r="B79" s="18"/>
      <c r="C79" s="22" t="s">
        <v>109</v>
      </c>
      <c r="D79" s="10" t="s">
        <v>88</v>
      </c>
    </row>
    <row r="80" ht="15.75" customHeight="1">
      <c r="A80" s="18"/>
      <c r="B80" s="18"/>
      <c r="C80" s="22" t="s">
        <v>110</v>
      </c>
      <c r="D80" s="10" t="s">
        <v>88</v>
      </c>
    </row>
    <row r="81" ht="15.75" customHeight="1">
      <c r="A81" s="18"/>
      <c r="B81" s="18"/>
      <c r="C81" s="22" t="s">
        <v>111</v>
      </c>
      <c r="D81" s="10" t="s">
        <v>88</v>
      </c>
    </row>
    <row r="82" ht="15.75" customHeight="1">
      <c r="A82" s="18"/>
      <c r="B82" s="18"/>
      <c r="C82" s="22" t="s">
        <v>112</v>
      </c>
      <c r="D82" s="10" t="s">
        <v>88</v>
      </c>
    </row>
    <row r="83" ht="15.75" customHeight="1">
      <c r="A83" s="18"/>
      <c r="B83" s="18"/>
      <c r="C83" s="22" t="s">
        <v>113</v>
      </c>
      <c r="D83" s="10" t="s">
        <v>88</v>
      </c>
    </row>
    <row r="84" ht="15.75" customHeight="1">
      <c r="A84" s="18"/>
      <c r="B84" s="18"/>
      <c r="C84" s="22" t="s">
        <v>114</v>
      </c>
      <c r="D84" s="10" t="s">
        <v>88</v>
      </c>
    </row>
    <row r="85" ht="15.75" customHeight="1">
      <c r="A85" s="18"/>
      <c r="B85" s="18"/>
      <c r="C85" s="22" t="s">
        <v>115</v>
      </c>
      <c r="D85" s="10" t="s">
        <v>88</v>
      </c>
    </row>
    <row r="86" ht="15.75" customHeight="1">
      <c r="A86" s="18"/>
      <c r="B86" s="18"/>
      <c r="C86" s="22" t="s">
        <v>116</v>
      </c>
      <c r="D86" s="10" t="s">
        <v>88</v>
      </c>
    </row>
    <row r="87" ht="15.75" customHeight="1">
      <c r="A87" s="18"/>
      <c r="B87" s="18"/>
      <c r="C87" s="22" t="s">
        <v>117</v>
      </c>
      <c r="D87" s="10" t="s">
        <v>88</v>
      </c>
    </row>
    <row r="88" ht="15.75" customHeight="1">
      <c r="A88" s="18"/>
      <c r="B88" s="18"/>
      <c r="C88" s="22" t="s">
        <v>118</v>
      </c>
      <c r="D88" s="10" t="s">
        <v>88</v>
      </c>
    </row>
    <row r="89" ht="15.75" customHeight="1">
      <c r="A89" s="18"/>
      <c r="B89" s="18"/>
      <c r="C89" s="22" t="s">
        <v>119</v>
      </c>
      <c r="D89" s="10" t="s">
        <v>88</v>
      </c>
    </row>
    <row r="90" ht="15.75" customHeight="1">
      <c r="A90" s="18"/>
      <c r="B90" s="18"/>
      <c r="C90" s="22" t="s">
        <v>120</v>
      </c>
      <c r="D90" s="10" t="s">
        <v>88</v>
      </c>
    </row>
    <row r="91" ht="15.75" customHeight="1">
      <c r="A91" s="18"/>
      <c r="B91" s="18"/>
      <c r="C91" s="22" t="s">
        <v>121</v>
      </c>
      <c r="D91" s="10" t="s">
        <v>88</v>
      </c>
    </row>
    <row r="92" ht="15.75" customHeight="1">
      <c r="A92" s="18"/>
      <c r="B92" s="18"/>
      <c r="C92" s="22" t="s">
        <v>122</v>
      </c>
      <c r="D92" s="10" t="s">
        <v>88</v>
      </c>
    </row>
    <row r="93" ht="15.75" customHeight="1">
      <c r="A93" s="18"/>
      <c r="B93" s="18"/>
      <c r="C93" s="22" t="s">
        <v>123</v>
      </c>
      <c r="D93" s="10" t="s">
        <v>88</v>
      </c>
    </row>
    <row r="94" ht="15.75" customHeight="1">
      <c r="A94" s="18"/>
      <c r="B94" s="18"/>
      <c r="C94" s="22" t="s">
        <v>124</v>
      </c>
      <c r="D94" s="10" t="s">
        <v>88</v>
      </c>
    </row>
    <row r="95" ht="15.75" customHeight="1">
      <c r="A95" s="18"/>
      <c r="B95" s="18"/>
      <c r="C95" s="22" t="s">
        <v>125</v>
      </c>
      <c r="D95" s="10" t="s">
        <v>88</v>
      </c>
    </row>
    <row r="96" ht="15.75" customHeight="1">
      <c r="A96" s="18"/>
      <c r="B96" s="18"/>
      <c r="C96" s="22" t="s">
        <v>126</v>
      </c>
      <c r="D96" s="10" t="s">
        <v>88</v>
      </c>
    </row>
    <row r="97" ht="15.75" customHeight="1">
      <c r="A97" s="18"/>
      <c r="B97" s="18"/>
      <c r="C97" s="22" t="s">
        <v>127</v>
      </c>
      <c r="D97" s="10" t="s">
        <v>88</v>
      </c>
    </row>
    <row r="98" ht="15.75" customHeight="1">
      <c r="A98" s="18"/>
      <c r="B98" s="18"/>
      <c r="C98" s="22" t="s">
        <v>128</v>
      </c>
      <c r="D98" s="10" t="s">
        <v>88</v>
      </c>
    </row>
    <row r="99" ht="15.75" customHeight="1">
      <c r="A99" s="18"/>
      <c r="B99" s="18"/>
      <c r="C99" s="22" t="s">
        <v>129</v>
      </c>
      <c r="D99" s="10" t="s">
        <v>88</v>
      </c>
    </row>
    <row r="100" ht="15.75" customHeight="1">
      <c r="A100" s="11"/>
      <c r="B100" s="11"/>
      <c r="C100" s="23" t="s">
        <v>130</v>
      </c>
      <c r="D100" s="10" t="s">
        <v>88</v>
      </c>
    </row>
    <row r="101" ht="15.75" customHeight="1">
      <c r="A101" s="10" t="s">
        <v>88</v>
      </c>
      <c r="B101" s="13">
        <f>SUM(B102:B113)</f>
        <v>1135500</v>
      </c>
      <c r="C101" s="14"/>
    </row>
    <row r="102" ht="15.75" customHeight="1">
      <c r="A102" s="7" t="s">
        <v>131</v>
      </c>
      <c r="B102" s="8">
        <v>250000.0</v>
      </c>
      <c r="C102" s="9" t="s">
        <v>132</v>
      </c>
      <c r="D102" s="10" t="s">
        <v>133</v>
      </c>
    </row>
    <row r="103" ht="15.75" customHeight="1">
      <c r="A103" s="11"/>
      <c r="B103" s="11"/>
      <c r="C103" s="12" t="s">
        <v>134</v>
      </c>
      <c r="D103" s="10" t="s">
        <v>133</v>
      </c>
    </row>
    <row r="104" ht="15.75" customHeight="1">
      <c r="A104" s="7" t="s">
        <v>135</v>
      </c>
      <c r="B104" s="8">
        <v>800000.0</v>
      </c>
      <c r="C104" s="9" t="s">
        <v>136</v>
      </c>
      <c r="D104" s="10" t="s">
        <v>133</v>
      </c>
    </row>
    <row r="105" ht="15.75" customHeight="1">
      <c r="A105" s="18"/>
      <c r="B105" s="18"/>
      <c r="C105" s="19" t="s">
        <v>137</v>
      </c>
      <c r="D105" s="10" t="s">
        <v>133</v>
      </c>
    </row>
    <row r="106" ht="15.75" customHeight="1">
      <c r="A106" s="18"/>
      <c r="B106" s="18"/>
      <c r="C106" s="19" t="s">
        <v>138</v>
      </c>
      <c r="D106" s="10" t="s">
        <v>133</v>
      </c>
    </row>
    <row r="107" ht="15.75" customHeight="1">
      <c r="A107" s="11"/>
      <c r="B107" s="11"/>
      <c r="C107" s="12" t="s">
        <v>139</v>
      </c>
      <c r="D107" s="10" t="s">
        <v>133</v>
      </c>
    </row>
    <row r="108" ht="15.75" customHeight="1">
      <c r="A108" s="7" t="s">
        <v>140</v>
      </c>
      <c r="B108" s="8">
        <v>7000.0</v>
      </c>
      <c r="C108" s="9" t="s">
        <v>141</v>
      </c>
      <c r="D108" s="10" t="s">
        <v>133</v>
      </c>
    </row>
    <row r="109" ht="15.75" customHeight="1">
      <c r="A109" s="11"/>
      <c r="B109" s="11"/>
      <c r="C109" s="12" t="s">
        <v>142</v>
      </c>
      <c r="D109" s="10" t="s">
        <v>133</v>
      </c>
    </row>
    <row r="110" ht="15.75" customHeight="1">
      <c r="A110" s="7" t="s">
        <v>143</v>
      </c>
      <c r="B110" s="8">
        <v>3500.0</v>
      </c>
      <c r="C110" s="9" t="s">
        <v>144</v>
      </c>
      <c r="D110" s="10" t="s">
        <v>133</v>
      </c>
    </row>
    <row r="111" ht="15.75" customHeight="1">
      <c r="A111" s="11"/>
      <c r="B111" s="11"/>
      <c r="C111" s="12" t="s">
        <v>145</v>
      </c>
      <c r="D111" s="10" t="s">
        <v>133</v>
      </c>
    </row>
    <row r="112" ht="15.75" customHeight="1">
      <c r="A112" s="7" t="s">
        <v>146</v>
      </c>
      <c r="B112" s="8">
        <v>75000.0</v>
      </c>
      <c r="C112" s="9" t="s">
        <v>147</v>
      </c>
      <c r="D112" s="10" t="s">
        <v>133</v>
      </c>
    </row>
    <row r="113" ht="15.75" customHeight="1">
      <c r="A113" s="11"/>
      <c r="B113" s="11"/>
      <c r="C113" s="12" t="s">
        <v>148</v>
      </c>
      <c r="D113" s="10" t="s">
        <v>133</v>
      </c>
    </row>
    <row r="114" ht="15.75" customHeight="1">
      <c r="A114" s="10" t="s">
        <v>133</v>
      </c>
      <c r="B114" s="13">
        <f>SUM(B115:B144)</f>
        <v>61485</v>
      </c>
      <c r="C114" s="14"/>
    </row>
    <row r="115" ht="15.75" customHeight="1">
      <c r="A115" s="7" t="s">
        <v>149</v>
      </c>
      <c r="B115" s="8">
        <v>5500.0</v>
      </c>
      <c r="C115" s="9" t="s">
        <v>150</v>
      </c>
    </row>
    <row r="116" ht="15.75" customHeight="1">
      <c r="A116" s="11"/>
      <c r="B116" s="11"/>
      <c r="C116" s="12" t="s">
        <v>151</v>
      </c>
    </row>
    <row r="117" ht="15.75" customHeight="1">
      <c r="A117" s="7" t="s">
        <v>152</v>
      </c>
      <c r="B117" s="8">
        <v>1500.0</v>
      </c>
      <c r="C117" s="9" t="s">
        <v>153</v>
      </c>
    </row>
    <row r="118" ht="15.75" customHeight="1">
      <c r="A118" s="11"/>
      <c r="B118" s="11"/>
      <c r="C118" s="12" t="s">
        <v>154</v>
      </c>
    </row>
    <row r="119" ht="15.75" customHeight="1">
      <c r="A119" s="7" t="s">
        <v>155</v>
      </c>
      <c r="B119" s="8">
        <v>2000.0</v>
      </c>
      <c r="C119" s="9" t="s">
        <v>156</v>
      </c>
    </row>
    <row r="120" ht="15.75" customHeight="1">
      <c r="A120" s="18"/>
      <c r="B120" s="18"/>
      <c r="C120" s="19" t="s">
        <v>157</v>
      </c>
    </row>
    <row r="121" ht="15.75" customHeight="1">
      <c r="A121" s="18"/>
      <c r="B121" s="18"/>
      <c r="C121" s="19" t="s">
        <v>158</v>
      </c>
    </row>
    <row r="122" ht="15.75" customHeight="1">
      <c r="A122" s="11"/>
      <c r="B122" s="11"/>
      <c r="C122" s="12" t="s">
        <v>159</v>
      </c>
    </row>
    <row r="123" ht="15.75" customHeight="1">
      <c r="A123" s="7" t="s">
        <v>160</v>
      </c>
      <c r="B123" s="8">
        <v>7000.0</v>
      </c>
      <c r="C123" s="9" t="s">
        <v>161</v>
      </c>
    </row>
    <row r="124" ht="15.75" customHeight="1">
      <c r="A124" s="11"/>
      <c r="B124" s="11"/>
      <c r="C124" s="12" t="s">
        <v>162</v>
      </c>
    </row>
    <row r="125" ht="15.75" customHeight="1">
      <c r="A125" s="7" t="s">
        <v>163</v>
      </c>
      <c r="B125" s="8">
        <v>6000.0</v>
      </c>
      <c r="C125" s="9" t="s">
        <v>164</v>
      </c>
    </row>
    <row r="126" ht="15.75" customHeight="1">
      <c r="A126" s="11"/>
      <c r="B126" s="11"/>
      <c r="C126" s="12" t="s">
        <v>165</v>
      </c>
    </row>
    <row r="127" ht="15.75" customHeight="1">
      <c r="A127" s="7" t="s">
        <v>166</v>
      </c>
      <c r="B127" s="8">
        <v>15000.0</v>
      </c>
      <c r="C127" s="9" t="s">
        <v>167</v>
      </c>
    </row>
    <row r="128" ht="15.75" customHeight="1">
      <c r="A128" s="11"/>
      <c r="B128" s="11"/>
      <c r="C128" s="12" t="s">
        <v>168</v>
      </c>
    </row>
    <row r="129" ht="15.75" customHeight="1">
      <c r="A129" s="7" t="s">
        <v>169</v>
      </c>
      <c r="B129" s="8">
        <v>6761.0</v>
      </c>
      <c r="C129" s="9" t="s">
        <v>170</v>
      </c>
    </row>
    <row r="130" ht="15.75" customHeight="1">
      <c r="A130" s="18"/>
      <c r="B130" s="18"/>
      <c r="C130" s="19" t="s">
        <v>171</v>
      </c>
    </row>
    <row r="131" ht="15.75" customHeight="1">
      <c r="A131" s="18"/>
      <c r="B131" s="18"/>
      <c r="C131" s="19" t="s">
        <v>172</v>
      </c>
    </row>
    <row r="132" ht="15.75" customHeight="1">
      <c r="A132" s="18"/>
      <c r="B132" s="18"/>
      <c r="C132" s="19" t="s">
        <v>173</v>
      </c>
    </row>
    <row r="133" ht="15.75" customHeight="1">
      <c r="A133" s="18"/>
      <c r="B133" s="18"/>
      <c r="C133" s="19" t="s">
        <v>174</v>
      </c>
    </row>
    <row r="134" ht="15.75" customHeight="1">
      <c r="A134" s="18"/>
      <c r="B134" s="18"/>
      <c r="C134" s="19" t="s">
        <v>175</v>
      </c>
    </row>
    <row r="135" ht="15.75" customHeight="1">
      <c r="A135" s="18"/>
      <c r="B135" s="18"/>
      <c r="C135" s="19" t="s">
        <v>176</v>
      </c>
    </row>
    <row r="136" ht="15.75" customHeight="1">
      <c r="A136" s="18"/>
      <c r="B136" s="18"/>
      <c r="C136" s="19" t="s">
        <v>177</v>
      </c>
    </row>
    <row r="137" ht="15.75" customHeight="1">
      <c r="A137" s="18"/>
      <c r="B137" s="18"/>
      <c r="C137" s="19" t="s">
        <v>178</v>
      </c>
    </row>
    <row r="138" ht="15.75" customHeight="1">
      <c r="A138" s="11"/>
      <c r="B138" s="11"/>
      <c r="C138" s="19" t="s">
        <v>179</v>
      </c>
    </row>
    <row r="139" ht="15.75" customHeight="1">
      <c r="A139" s="7" t="s">
        <v>180</v>
      </c>
      <c r="B139" s="8">
        <v>6950.0</v>
      </c>
      <c r="C139" s="9" t="s">
        <v>181</v>
      </c>
    </row>
    <row r="140" ht="15.75" customHeight="1">
      <c r="A140" s="11"/>
      <c r="B140" s="11"/>
      <c r="C140" s="12" t="s">
        <v>182</v>
      </c>
    </row>
    <row r="141" ht="15.75" customHeight="1">
      <c r="A141" s="15" t="s">
        <v>183</v>
      </c>
      <c r="B141" s="16">
        <v>6660.0</v>
      </c>
      <c r="C141" s="17" t="s">
        <v>184</v>
      </c>
    </row>
    <row r="142" ht="15.75" customHeight="1">
      <c r="A142" s="18"/>
      <c r="B142" s="18"/>
      <c r="C142" s="24" t="s">
        <v>185</v>
      </c>
    </row>
    <row r="143" ht="15.75" customHeight="1">
      <c r="A143" s="7" t="s">
        <v>186</v>
      </c>
      <c r="B143" s="8">
        <v>4114.0</v>
      </c>
      <c r="C143" s="9" t="s">
        <v>187</v>
      </c>
    </row>
    <row r="144" ht="15.75" customHeight="1">
      <c r="A144" s="11"/>
      <c r="B144" s="11"/>
      <c r="C144" s="12" t="s">
        <v>188</v>
      </c>
    </row>
    <row r="145" ht="15.75" hidden="1" customHeight="1">
      <c r="A145" s="25" t="s">
        <v>189</v>
      </c>
      <c r="B145" s="26">
        <f>B114+B101+B58+B31+B24+B7+B2</f>
        <v>2174264</v>
      </c>
      <c r="C145" s="27"/>
    </row>
    <row r="146" ht="15.75" hidden="1" customHeight="1">
      <c r="A146" s="1" t="s">
        <v>190</v>
      </c>
      <c r="B146" s="2">
        <f>B145*0.05</f>
        <v>108713.2</v>
      </c>
      <c r="C146" s="28"/>
    </row>
    <row r="147" ht="15.75" hidden="1" customHeight="1">
      <c r="A147" s="1" t="s">
        <v>189</v>
      </c>
      <c r="B147" s="2">
        <f>B145+B146</f>
        <v>2282977.2</v>
      </c>
      <c r="C147" s="28"/>
    </row>
    <row r="148" ht="15.75" customHeight="1">
      <c r="A148" s="1"/>
      <c r="B148" s="2"/>
      <c r="C148" s="28"/>
    </row>
    <row r="149" ht="15.75" customHeight="1">
      <c r="A149" s="29" t="s">
        <v>0</v>
      </c>
      <c r="B149" s="30" t="s">
        <v>191</v>
      </c>
      <c r="C149" s="29" t="s">
        <v>192</v>
      </c>
    </row>
    <row r="150" ht="15.75" customHeight="1">
      <c r="A150" s="4" t="s">
        <v>193</v>
      </c>
      <c r="B150" s="5">
        <f>SUM(B151:B159)</f>
        <v>47000</v>
      </c>
      <c r="C150" s="4"/>
    </row>
    <row r="151" ht="15.75" customHeight="1">
      <c r="A151" s="9" t="s">
        <v>194</v>
      </c>
      <c r="B151" s="31">
        <v>10000.0</v>
      </c>
      <c r="C151" s="7" t="s">
        <v>195</v>
      </c>
    </row>
    <row r="152" ht="15.75" customHeight="1">
      <c r="A152" s="19" t="s">
        <v>196</v>
      </c>
      <c r="B152" s="32">
        <v>0.0</v>
      </c>
      <c r="C152" s="18"/>
    </row>
    <row r="153" ht="15.75" customHeight="1">
      <c r="A153" s="19" t="s">
        <v>197</v>
      </c>
      <c r="B153" s="32">
        <v>25000.0</v>
      </c>
      <c r="C153" s="18"/>
    </row>
    <row r="154" ht="15.75" customHeight="1">
      <c r="A154" s="19" t="s">
        <v>198</v>
      </c>
      <c r="B154" s="32">
        <v>0.0</v>
      </c>
      <c r="C154" s="18"/>
    </row>
    <row r="155" ht="15.75" customHeight="1">
      <c r="A155" s="19" t="s">
        <v>199</v>
      </c>
      <c r="B155" s="32">
        <v>12000.0</v>
      </c>
      <c r="C155" s="20"/>
    </row>
    <row r="156" ht="15.75" customHeight="1">
      <c r="A156" s="19" t="s">
        <v>200</v>
      </c>
      <c r="B156" s="32">
        <v>0.0</v>
      </c>
      <c r="C156" s="33" t="s">
        <v>201</v>
      </c>
    </row>
    <row r="157" ht="15.75" customHeight="1">
      <c r="A157" s="19" t="s">
        <v>202</v>
      </c>
      <c r="B157" s="32">
        <v>0.0</v>
      </c>
      <c r="C157" s="18"/>
    </row>
    <row r="158" ht="15.75" customHeight="1">
      <c r="A158" s="19" t="s">
        <v>203</v>
      </c>
      <c r="B158" s="32">
        <v>0.0</v>
      </c>
      <c r="C158" s="18"/>
    </row>
    <row r="159" ht="15.75" customHeight="1">
      <c r="A159" s="12" t="s">
        <v>204</v>
      </c>
      <c r="B159" s="34">
        <v>0.0</v>
      </c>
      <c r="C159" s="11"/>
    </row>
    <row r="160" ht="15.75" customHeight="1">
      <c r="A160" s="10" t="s">
        <v>205</v>
      </c>
      <c r="B160" s="13">
        <f>SUM(B161:B182)</f>
        <v>265000</v>
      </c>
      <c r="C160" s="10"/>
    </row>
    <row r="161" ht="15.75" customHeight="1">
      <c r="A161" s="9" t="s">
        <v>206</v>
      </c>
      <c r="B161" s="31"/>
      <c r="C161" s="7" t="s">
        <v>195</v>
      </c>
    </row>
    <row r="162" ht="15.75" customHeight="1">
      <c r="A162" s="19" t="s">
        <v>207</v>
      </c>
      <c r="B162" s="32"/>
      <c r="C162" s="18"/>
      <c r="D162" s="35" t="s">
        <v>208</v>
      </c>
    </row>
    <row r="163" ht="15.75" customHeight="1">
      <c r="A163" s="19" t="s">
        <v>209</v>
      </c>
      <c r="B163" s="32">
        <v>24000.0</v>
      </c>
      <c r="C163" s="18"/>
    </row>
    <row r="164" ht="15.75" customHeight="1">
      <c r="A164" s="19" t="s">
        <v>210</v>
      </c>
      <c r="B164" s="32">
        <v>62000.0</v>
      </c>
      <c r="C164" s="18"/>
    </row>
    <row r="165" ht="15.75" customHeight="1">
      <c r="A165" s="19" t="s">
        <v>211</v>
      </c>
      <c r="B165" s="32"/>
      <c r="C165" s="18"/>
    </row>
    <row r="166" ht="15.75" customHeight="1">
      <c r="A166" s="19" t="s">
        <v>212</v>
      </c>
      <c r="B166" s="32">
        <v>6000.0</v>
      </c>
      <c r="C166" s="18"/>
    </row>
    <row r="167" ht="15.75" customHeight="1">
      <c r="A167" s="19" t="s">
        <v>213</v>
      </c>
      <c r="B167" s="32">
        <v>6000.0</v>
      </c>
      <c r="C167" s="18"/>
    </row>
    <row r="168" ht="15.75" customHeight="1">
      <c r="A168" s="19" t="s">
        <v>214</v>
      </c>
      <c r="B168" s="32">
        <v>80000.0</v>
      </c>
      <c r="C168" s="18"/>
    </row>
    <row r="169" ht="15.75" customHeight="1">
      <c r="A169" s="19" t="s">
        <v>215</v>
      </c>
      <c r="B169" s="32">
        <v>10000.0</v>
      </c>
      <c r="C169" s="18"/>
      <c r="D169" s="35" t="s">
        <v>216</v>
      </c>
    </row>
    <row r="170" ht="15.75" customHeight="1">
      <c r="A170" s="19" t="s">
        <v>217</v>
      </c>
      <c r="B170" s="32"/>
      <c r="C170" s="18"/>
    </row>
    <row r="171" ht="15.75" customHeight="1">
      <c r="A171" s="19" t="s">
        <v>218</v>
      </c>
      <c r="B171" s="32"/>
      <c r="C171" s="20"/>
    </row>
    <row r="172" ht="15.75" customHeight="1">
      <c r="A172" s="19" t="s">
        <v>219</v>
      </c>
      <c r="B172" s="32">
        <v>35000.0</v>
      </c>
      <c r="C172" s="33" t="s">
        <v>201</v>
      </c>
    </row>
    <row r="173" ht="15.75" customHeight="1">
      <c r="A173" s="19" t="s">
        <v>220</v>
      </c>
      <c r="B173" s="32">
        <v>17000.0</v>
      </c>
      <c r="C173" s="18"/>
    </row>
    <row r="174" ht="15.75" customHeight="1">
      <c r="A174" s="19" t="s">
        <v>221</v>
      </c>
      <c r="B174" s="32">
        <v>22000.0</v>
      </c>
      <c r="C174" s="18"/>
    </row>
    <row r="175" ht="15.75" customHeight="1">
      <c r="A175" s="19" t="s">
        <v>222</v>
      </c>
      <c r="B175" s="32"/>
      <c r="C175" s="18"/>
    </row>
    <row r="176" ht="15.75" customHeight="1">
      <c r="A176" s="19" t="s">
        <v>223</v>
      </c>
      <c r="B176" s="32"/>
      <c r="C176" s="18"/>
    </row>
    <row r="177" ht="15.75" customHeight="1">
      <c r="A177" s="19" t="s">
        <v>224</v>
      </c>
      <c r="B177" s="32"/>
      <c r="C177" s="18"/>
    </row>
    <row r="178" ht="15.75" customHeight="1">
      <c r="A178" s="19" t="s">
        <v>225</v>
      </c>
      <c r="B178" s="32"/>
      <c r="C178" s="18"/>
    </row>
    <row r="179" ht="15.75" customHeight="1">
      <c r="A179" s="19" t="s">
        <v>226</v>
      </c>
      <c r="B179" s="32">
        <v>3000.0</v>
      </c>
      <c r="C179" s="18"/>
    </row>
    <row r="180" ht="15.75" customHeight="1">
      <c r="A180" s="19" t="s">
        <v>227</v>
      </c>
      <c r="B180" s="32"/>
      <c r="C180" s="18"/>
    </row>
    <row r="181" ht="15.75" customHeight="1">
      <c r="A181" s="19" t="s">
        <v>228</v>
      </c>
      <c r="B181" s="32"/>
      <c r="C181" s="18"/>
    </row>
    <row r="182" ht="15.75" customHeight="1">
      <c r="A182" s="12" t="s">
        <v>229</v>
      </c>
      <c r="B182" s="34"/>
      <c r="C182" s="11"/>
    </row>
    <row r="183" ht="15.75" customHeight="1">
      <c r="A183" s="25" t="s">
        <v>230</v>
      </c>
      <c r="B183" s="26">
        <f>B160+B150+B147</f>
        <v>2594977.2</v>
      </c>
      <c r="C183" s="25"/>
    </row>
    <row r="184" ht="15.75" customHeight="1">
      <c r="B184" s="36"/>
    </row>
    <row r="185" ht="15.75" customHeight="1">
      <c r="B185" s="36"/>
    </row>
    <row r="186" ht="15.75" customHeight="1">
      <c r="B186" s="36"/>
    </row>
    <row r="187" ht="15.75" customHeight="1">
      <c r="B187" s="36"/>
    </row>
    <row r="188" ht="15.75" customHeight="1">
      <c r="B188" s="36"/>
    </row>
    <row r="189" ht="15.75" customHeight="1">
      <c r="B189" s="36"/>
    </row>
    <row r="190" ht="15.75" customHeight="1">
      <c r="B190" s="36"/>
    </row>
    <row r="191" ht="15.75" customHeight="1">
      <c r="B191" s="36"/>
    </row>
    <row r="192" ht="15.75" customHeight="1">
      <c r="B192" s="36"/>
    </row>
    <row r="193" ht="15.75" customHeight="1">
      <c r="B193" s="36"/>
    </row>
    <row r="194" ht="15.75" customHeight="1">
      <c r="B194" s="36"/>
    </row>
    <row r="195" ht="15.75" customHeight="1">
      <c r="B195" s="36"/>
    </row>
    <row r="196" ht="15.75" customHeight="1">
      <c r="B196" s="36"/>
    </row>
    <row r="197" ht="15.75" customHeight="1">
      <c r="B197" s="36"/>
    </row>
    <row r="198" ht="15.75" customHeight="1">
      <c r="B198" s="36"/>
    </row>
    <row r="199" ht="15.75" customHeight="1">
      <c r="B199" s="36"/>
    </row>
    <row r="200" ht="15.75" customHeight="1">
      <c r="B200" s="36"/>
    </row>
    <row r="201" ht="15.75" customHeight="1">
      <c r="B201" s="36"/>
    </row>
    <row r="202" ht="15.75" customHeight="1">
      <c r="B202" s="36"/>
    </row>
    <row r="203" ht="15.75" customHeight="1">
      <c r="B203" s="36"/>
    </row>
    <row r="204" ht="15.75" customHeight="1">
      <c r="B204" s="36"/>
    </row>
    <row r="205" ht="15.75" customHeight="1">
      <c r="B205" s="36"/>
    </row>
    <row r="206" ht="15.75" customHeight="1">
      <c r="B206" s="36"/>
    </row>
    <row r="207" ht="15.75" customHeight="1">
      <c r="B207" s="36"/>
    </row>
    <row r="208" ht="15.75" customHeight="1">
      <c r="B208" s="36"/>
    </row>
    <row r="209" ht="15.75" customHeight="1">
      <c r="B209" s="36"/>
    </row>
    <row r="210" ht="15.75" customHeight="1">
      <c r="B210" s="36"/>
    </row>
    <row r="211" ht="15.75" customHeight="1">
      <c r="B211" s="36"/>
    </row>
    <row r="212" ht="15.75" customHeight="1">
      <c r="B212" s="36"/>
    </row>
    <row r="213" ht="15.75" customHeight="1">
      <c r="B213" s="36"/>
    </row>
    <row r="214" ht="15.75" customHeight="1">
      <c r="B214" s="36"/>
    </row>
    <row r="215" ht="15.75" customHeight="1">
      <c r="B215" s="36"/>
    </row>
    <row r="216" ht="15.75" customHeight="1">
      <c r="B216" s="36"/>
    </row>
    <row r="217" ht="15.75" customHeight="1">
      <c r="B217" s="36"/>
    </row>
    <row r="218" ht="15.75" customHeight="1">
      <c r="B218" s="36"/>
    </row>
    <row r="219" ht="15.75" customHeight="1">
      <c r="B219" s="36"/>
    </row>
    <row r="220" ht="15.75" customHeight="1">
      <c r="B220" s="36"/>
    </row>
    <row r="221" ht="15.75" customHeight="1">
      <c r="B221" s="36"/>
    </row>
    <row r="222" ht="15.75" customHeight="1">
      <c r="B222" s="36"/>
    </row>
    <row r="223" ht="15.75" customHeight="1">
      <c r="B223" s="36"/>
    </row>
    <row r="224" ht="15.75" customHeight="1">
      <c r="B224" s="36"/>
    </row>
    <row r="225" ht="15.75" customHeight="1">
      <c r="B225" s="36"/>
    </row>
    <row r="226" ht="15.75" customHeight="1">
      <c r="B226" s="36"/>
    </row>
    <row r="227" ht="15.75" customHeight="1">
      <c r="B227" s="36"/>
    </row>
    <row r="228" ht="15.75" customHeight="1">
      <c r="B228" s="36"/>
    </row>
    <row r="229" ht="15.75" customHeight="1">
      <c r="B229" s="36"/>
    </row>
    <row r="230" ht="15.75" customHeight="1">
      <c r="B230" s="36"/>
    </row>
    <row r="231" ht="15.75" customHeight="1">
      <c r="B231" s="36"/>
    </row>
    <row r="232" ht="15.75" customHeight="1">
      <c r="B232" s="36"/>
    </row>
    <row r="233" ht="15.75" customHeight="1">
      <c r="B233" s="36"/>
    </row>
    <row r="234" ht="15.75" customHeight="1">
      <c r="B234" s="36"/>
    </row>
    <row r="235" ht="15.75" customHeight="1">
      <c r="B235" s="36"/>
    </row>
    <row r="236" ht="15.75" customHeight="1">
      <c r="B236" s="36"/>
    </row>
    <row r="237" ht="15.75" customHeight="1">
      <c r="B237" s="36"/>
    </row>
    <row r="238" ht="15.75" customHeight="1">
      <c r="B238" s="36"/>
    </row>
    <row r="239" ht="15.75" customHeight="1">
      <c r="B239" s="36"/>
    </row>
    <row r="240" ht="15.75" customHeight="1">
      <c r="B240" s="36"/>
    </row>
    <row r="241" ht="15.75" customHeight="1">
      <c r="B241" s="36"/>
    </row>
    <row r="242" ht="15.75" customHeight="1">
      <c r="B242" s="36"/>
    </row>
    <row r="243" ht="15.75" customHeight="1">
      <c r="B243" s="36"/>
    </row>
    <row r="244" ht="15.75" customHeight="1">
      <c r="B244" s="36"/>
    </row>
    <row r="245" ht="15.75" customHeight="1">
      <c r="B245" s="36"/>
    </row>
    <row r="246" ht="15.75" customHeight="1">
      <c r="B246" s="36"/>
    </row>
    <row r="247" ht="15.75" customHeight="1">
      <c r="B247" s="36"/>
    </row>
    <row r="248" ht="15.75" customHeight="1">
      <c r="B248" s="36"/>
    </row>
    <row r="249" ht="15.75" customHeight="1">
      <c r="B249" s="36"/>
    </row>
    <row r="250" ht="15.75" customHeight="1">
      <c r="B250" s="36"/>
    </row>
    <row r="251" ht="15.75" customHeight="1">
      <c r="B251" s="36"/>
    </row>
    <row r="252" ht="15.75" customHeight="1">
      <c r="B252" s="36"/>
    </row>
    <row r="253" ht="15.75" customHeight="1">
      <c r="B253" s="36"/>
    </row>
    <row r="254" ht="15.75" customHeight="1">
      <c r="B254" s="36"/>
    </row>
    <row r="255" ht="15.75" customHeight="1">
      <c r="B255" s="36"/>
    </row>
    <row r="256" ht="15.75" customHeight="1">
      <c r="B256" s="36"/>
    </row>
    <row r="257" ht="15.75" customHeight="1">
      <c r="B257" s="36"/>
    </row>
    <row r="258" ht="15.75" customHeight="1">
      <c r="B258" s="36"/>
    </row>
    <row r="259" ht="15.75" customHeight="1">
      <c r="B259" s="36"/>
    </row>
    <row r="260" ht="15.75" customHeight="1">
      <c r="B260" s="36"/>
    </row>
    <row r="261" ht="15.75" customHeight="1">
      <c r="B261" s="36"/>
    </row>
    <row r="262" ht="15.75" customHeight="1">
      <c r="B262" s="36"/>
    </row>
    <row r="263" ht="15.75" customHeight="1">
      <c r="B263" s="36"/>
    </row>
    <row r="264" ht="15.75" customHeight="1">
      <c r="B264" s="36"/>
    </row>
    <row r="265" ht="15.75" customHeight="1">
      <c r="B265" s="36"/>
    </row>
    <row r="266" ht="15.75" customHeight="1">
      <c r="B266" s="36"/>
    </row>
    <row r="267" ht="15.75" customHeight="1">
      <c r="B267" s="36"/>
    </row>
    <row r="268" ht="15.75" customHeight="1">
      <c r="B268" s="36"/>
    </row>
    <row r="269" ht="15.75" customHeight="1">
      <c r="B269" s="36"/>
    </row>
    <row r="270" ht="15.75" customHeight="1">
      <c r="B270" s="36"/>
    </row>
    <row r="271" ht="15.75" customHeight="1">
      <c r="B271" s="36"/>
    </row>
    <row r="272" ht="15.75" customHeight="1">
      <c r="B272" s="36"/>
    </row>
    <row r="273" ht="15.75" customHeight="1">
      <c r="B273" s="36"/>
    </row>
    <row r="274" ht="15.75" customHeight="1">
      <c r="B274" s="36"/>
    </row>
    <row r="275" ht="15.75" customHeight="1">
      <c r="B275" s="36"/>
    </row>
    <row r="276" ht="15.75" customHeight="1">
      <c r="B276" s="36"/>
    </row>
    <row r="277" ht="15.75" customHeight="1">
      <c r="B277" s="36"/>
    </row>
    <row r="278" ht="15.75" customHeight="1">
      <c r="B278" s="36"/>
    </row>
    <row r="279" ht="15.75" customHeight="1">
      <c r="B279" s="36"/>
    </row>
    <row r="280" ht="15.75" customHeight="1">
      <c r="B280" s="36"/>
    </row>
    <row r="281" ht="15.75" customHeight="1">
      <c r="B281" s="36"/>
    </row>
    <row r="282" ht="15.75" customHeight="1">
      <c r="B282" s="36"/>
    </row>
    <row r="283" ht="15.75" customHeight="1">
      <c r="B283" s="36"/>
    </row>
    <row r="284" ht="15.75" customHeight="1">
      <c r="B284" s="36"/>
    </row>
    <row r="285" ht="15.75" customHeight="1">
      <c r="B285" s="36"/>
    </row>
    <row r="286" ht="15.75" customHeight="1">
      <c r="B286" s="36"/>
    </row>
    <row r="287" ht="15.75" customHeight="1">
      <c r="B287" s="36"/>
    </row>
    <row r="288" ht="15.75" customHeight="1">
      <c r="B288" s="36"/>
    </row>
    <row r="289" ht="15.75" customHeight="1">
      <c r="B289" s="36"/>
    </row>
    <row r="290" ht="15.75" customHeight="1">
      <c r="B290" s="36"/>
    </row>
    <row r="291" ht="15.75" customHeight="1">
      <c r="B291" s="36"/>
    </row>
    <row r="292" ht="15.75" customHeight="1">
      <c r="B292" s="36"/>
    </row>
    <row r="293" ht="15.75" customHeight="1">
      <c r="B293" s="36"/>
    </row>
    <row r="294" ht="15.75" customHeight="1">
      <c r="B294" s="36"/>
    </row>
    <row r="295" ht="15.75" customHeight="1">
      <c r="B295" s="36"/>
    </row>
    <row r="296" ht="15.75" customHeight="1">
      <c r="B296" s="36"/>
    </row>
    <row r="297" ht="15.75" customHeight="1">
      <c r="B297" s="36"/>
    </row>
    <row r="298" ht="15.75" customHeight="1">
      <c r="B298" s="36"/>
    </row>
    <row r="299" ht="15.75" customHeight="1">
      <c r="B299" s="36"/>
    </row>
    <row r="300" ht="15.75" customHeight="1">
      <c r="B300" s="36"/>
    </row>
    <row r="301" ht="15.75" customHeight="1">
      <c r="B301" s="36"/>
    </row>
    <row r="302" ht="15.75" customHeight="1">
      <c r="B302" s="36"/>
    </row>
    <row r="303" ht="15.75" customHeight="1">
      <c r="B303" s="36"/>
    </row>
    <row r="304" ht="15.75" customHeight="1">
      <c r="B304" s="36"/>
    </row>
    <row r="305" ht="15.75" customHeight="1">
      <c r="B305" s="36"/>
    </row>
    <row r="306" ht="15.75" customHeight="1">
      <c r="B306" s="36"/>
    </row>
    <row r="307" ht="15.75" customHeight="1">
      <c r="B307" s="36"/>
    </row>
    <row r="308" ht="15.75" customHeight="1">
      <c r="B308" s="36"/>
    </row>
    <row r="309" ht="15.75" customHeight="1">
      <c r="B309" s="36"/>
    </row>
    <row r="310" ht="15.75" customHeight="1">
      <c r="B310" s="36"/>
    </row>
    <row r="311" ht="15.75" customHeight="1">
      <c r="B311" s="36"/>
    </row>
    <row r="312" ht="15.75" customHeight="1">
      <c r="B312" s="36"/>
    </row>
    <row r="313" ht="15.75" customHeight="1">
      <c r="B313" s="36"/>
    </row>
    <row r="314" ht="15.75" customHeight="1">
      <c r="B314" s="36"/>
    </row>
    <row r="315" ht="15.75" customHeight="1">
      <c r="B315" s="36"/>
    </row>
    <row r="316" ht="15.75" customHeight="1">
      <c r="B316" s="36"/>
    </row>
    <row r="317" ht="15.75" customHeight="1">
      <c r="B317" s="36"/>
    </row>
    <row r="318" ht="15.75" customHeight="1">
      <c r="B318" s="36"/>
    </row>
    <row r="319" ht="15.75" customHeight="1">
      <c r="B319" s="36"/>
    </row>
    <row r="320" ht="15.75" customHeight="1">
      <c r="B320" s="36"/>
    </row>
    <row r="321" ht="15.75" customHeight="1">
      <c r="B321" s="36"/>
    </row>
    <row r="322" ht="15.75" customHeight="1">
      <c r="B322" s="36"/>
    </row>
    <row r="323" ht="15.75" customHeight="1">
      <c r="B323" s="36"/>
    </row>
    <row r="324" ht="15.75" customHeight="1">
      <c r="B324" s="36"/>
    </row>
    <row r="325" ht="15.75" customHeight="1">
      <c r="B325" s="36"/>
    </row>
    <row r="326" ht="15.75" customHeight="1">
      <c r="B326" s="36"/>
    </row>
    <row r="327" ht="15.75" customHeight="1">
      <c r="B327" s="36"/>
    </row>
    <row r="328" ht="15.75" customHeight="1">
      <c r="B328" s="36"/>
    </row>
    <row r="329" ht="15.75" customHeight="1">
      <c r="B329" s="36"/>
    </row>
    <row r="330" ht="15.75" customHeight="1">
      <c r="B330" s="36"/>
    </row>
    <row r="331" ht="15.75" customHeight="1">
      <c r="B331" s="36"/>
    </row>
    <row r="332" ht="15.75" customHeight="1">
      <c r="B332" s="36"/>
    </row>
    <row r="333" ht="15.75" customHeight="1">
      <c r="B333" s="36"/>
    </row>
    <row r="334" ht="15.75" customHeight="1">
      <c r="B334" s="36"/>
    </row>
    <row r="335" ht="15.75" customHeight="1">
      <c r="B335" s="36"/>
    </row>
    <row r="336" ht="15.75" customHeight="1">
      <c r="B336" s="36"/>
    </row>
    <row r="337" ht="15.75" customHeight="1">
      <c r="B337" s="36"/>
    </row>
    <row r="338" ht="15.75" customHeight="1">
      <c r="B338" s="36"/>
    </row>
    <row r="339" ht="15.75" customHeight="1">
      <c r="B339" s="36"/>
    </row>
    <row r="340" ht="15.75" customHeight="1">
      <c r="B340" s="36"/>
    </row>
    <row r="341" ht="15.75" customHeight="1">
      <c r="B341" s="36"/>
    </row>
    <row r="342" ht="15.75" customHeight="1">
      <c r="B342" s="36"/>
    </row>
    <row r="343" ht="15.75" customHeight="1">
      <c r="B343" s="36"/>
    </row>
    <row r="344" ht="15.75" customHeight="1">
      <c r="B344" s="36"/>
    </row>
    <row r="345" ht="15.75" customHeight="1">
      <c r="B345" s="36"/>
    </row>
    <row r="346" ht="15.75" customHeight="1">
      <c r="B346" s="36"/>
    </row>
    <row r="347" ht="15.75" customHeight="1">
      <c r="B347" s="36"/>
    </row>
    <row r="348" ht="15.75" customHeight="1">
      <c r="B348" s="36"/>
    </row>
    <row r="349" ht="15.75" customHeight="1">
      <c r="B349" s="36"/>
    </row>
    <row r="350" ht="15.75" customHeight="1">
      <c r="B350" s="36"/>
    </row>
    <row r="351" ht="15.75" customHeight="1">
      <c r="B351" s="36"/>
    </row>
    <row r="352" ht="15.75" customHeight="1">
      <c r="B352" s="36"/>
    </row>
    <row r="353" ht="15.75" customHeight="1">
      <c r="B353" s="36"/>
    </row>
    <row r="354" ht="15.75" customHeight="1">
      <c r="B354" s="36"/>
    </row>
    <row r="355" ht="15.75" customHeight="1">
      <c r="B355" s="36"/>
    </row>
    <row r="356" ht="15.75" customHeight="1">
      <c r="B356" s="36"/>
    </row>
    <row r="357" ht="15.75" customHeight="1">
      <c r="B357" s="36"/>
    </row>
    <row r="358" ht="15.75" customHeight="1">
      <c r="B358" s="36"/>
    </row>
    <row r="359" ht="15.75" customHeight="1">
      <c r="B359" s="36"/>
    </row>
    <row r="360" ht="15.75" customHeight="1">
      <c r="B360" s="36"/>
    </row>
    <row r="361" ht="15.75" customHeight="1">
      <c r="B361" s="36"/>
    </row>
    <row r="362" ht="15.75" customHeight="1">
      <c r="B362" s="36"/>
    </row>
    <row r="363" ht="15.75" customHeight="1">
      <c r="B363" s="36"/>
    </row>
    <row r="364" ht="15.75" customHeight="1">
      <c r="B364" s="36"/>
    </row>
    <row r="365" ht="15.75" customHeight="1">
      <c r="B365" s="36"/>
    </row>
    <row r="366" ht="15.75" customHeight="1">
      <c r="B366" s="36"/>
    </row>
    <row r="367" ht="15.75" customHeight="1">
      <c r="B367" s="36"/>
    </row>
    <row r="368" ht="15.75" customHeight="1">
      <c r="B368" s="36"/>
    </row>
    <row r="369" ht="15.75" customHeight="1">
      <c r="B369" s="36"/>
    </row>
    <row r="370" ht="15.75" customHeight="1">
      <c r="B370" s="36"/>
    </row>
    <row r="371" ht="15.75" customHeight="1">
      <c r="B371" s="36"/>
    </row>
    <row r="372" ht="15.75" customHeight="1">
      <c r="B372" s="36"/>
    </row>
    <row r="373" ht="15.75" customHeight="1">
      <c r="B373" s="36"/>
    </row>
    <row r="374" ht="15.75" customHeight="1">
      <c r="B374" s="36"/>
    </row>
    <row r="375" ht="15.75" customHeight="1">
      <c r="B375" s="36"/>
    </row>
    <row r="376" ht="15.75" customHeight="1">
      <c r="B376" s="36"/>
    </row>
    <row r="377" ht="15.75" customHeight="1">
      <c r="B377" s="36"/>
    </row>
    <row r="378" ht="15.75" customHeight="1">
      <c r="B378" s="36"/>
    </row>
    <row r="379" ht="15.75" customHeight="1">
      <c r="B379" s="36"/>
    </row>
    <row r="380" ht="15.75" customHeight="1">
      <c r="B380" s="36"/>
    </row>
    <row r="381" ht="15.75" customHeight="1">
      <c r="B381" s="36"/>
    </row>
    <row r="382" ht="15.75" customHeight="1">
      <c r="B382" s="36"/>
    </row>
    <row r="383" ht="15.75" customHeight="1">
      <c r="B383" s="36"/>
    </row>
    <row r="384" ht="15.75" customHeight="1">
      <c r="B384" s="36"/>
    </row>
    <row r="385" ht="15.75" customHeight="1">
      <c r="B385" s="36"/>
    </row>
    <row r="386" ht="15.75" customHeight="1">
      <c r="B386" s="36"/>
    </row>
    <row r="387" ht="15.75" customHeight="1">
      <c r="B387" s="36"/>
    </row>
    <row r="388" ht="15.75" customHeight="1">
      <c r="B388" s="36"/>
    </row>
    <row r="389" ht="15.75" customHeight="1">
      <c r="B389" s="36"/>
    </row>
    <row r="390" ht="15.75" customHeight="1">
      <c r="B390" s="36"/>
    </row>
    <row r="391" ht="15.75" customHeight="1">
      <c r="B391" s="36"/>
    </row>
    <row r="392" ht="15.75" customHeight="1">
      <c r="B392" s="36"/>
    </row>
    <row r="393" ht="15.75" customHeight="1">
      <c r="B393" s="36"/>
    </row>
    <row r="394" ht="15.75" customHeight="1">
      <c r="B394" s="36"/>
    </row>
    <row r="395" ht="15.75" customHeight="1">
      <c r="B395" s="36"/>
    </row>
    <row r="396" ht="15.75" customHeight="1">
      <c r="B396" s="36"/>
    </row>
    <row r="397" ht="15.75" customHeight="1">
      <c r="B397" s="36"/>
    </row>
    <row r="398" ht="15.75" customHeight="1">
      <c r="B398" s="36"/>
    </row>
    <row r="399" ht="15.75" customHeight="1">
      <c r="B399" s="36"/>
    </row>
    <row r="400" ht="15.75" customHeight="1">
      <c r="B400" s="36"/>
    </row>
    <row r="401" ht="15.75" customHeight="1">
      <c r="B401" s="36"/>
    </row>
    <row r="402" ht="15.75" customHeight="1">
      <c r="B402" s="36"/>
    </row>
    <row r="403" ht="15.75" customHeight="1">
      <c r="B403" s="36"/>
    </row>
    <row r="404" ht="15.75" customHeight="1">
      <c r="B404" s="36"/>
    </row>
    <row r="405" ht="15.75" customHeight="1">
      <c r="B405" s="36"/>
    </row>
    <row r="406" ht="15.75" customHeight="1">
      <c r="B406" s="36"/>
    </row>
    <row r="407" ht="15.75" customHeight="1">
      <c r="B407" s="36"/>
    </row>
    <row r="408" ht="15.75" customHeight="1">
      <c r="B408" s="36"/>
    </row>
    <row r="409" ht="15.75" customHeight="1">
      <c r="B409" s="36"/>
    </row>
    <row r="410" ht="15.75" customHeight="1">
      <c r="B410" s="36"/>
    </row>
    <row r="411" ht="15.75" customHeight="1">
      <c r="B411" s="36"/>
    </row>
    <row r="412" ht="15.75" customHeight="1">
      <c r="B412" s="36"/>
    </row>
    <row r="413" ht="15.75" customHeight="1">
      <c r="B413" s="36"/>
    </row>
    <row r="414" ht="15.75" customHeight="1">
      <c r="B414" s="36"/>
    </row>
    <row r="415" ht="15.75" customHeight="1">
      <c r="B415" s="36"/>
    </row>
    <row r="416" ht="15.75" customHeight="1">
      <c r="B416" s="36"/>
    </row>
    <row r="417" ht="15.75" customHeight="1">
      <c r="B417" s="36"/>
    </row>
    <row r="418" ht="15.75" customHeight="1">
      <c r="B418" s="36"/>
    </row>
    <row r="419" ht="15.75" customHeight="1">
      <c r="B419" s="36"/>
    </row>
    <row r="420" ht="15.75" customHeight="1">
      <c r="B420" s="36"/>
    </row>
    <row r="421" ht="15.75" customHeight="1">
      <c r="B421" s="36"/>
    </row>
    <row r="422" ht="15.75" customHeight="1">
      <c r="B422" s="36"/>
    </row>
    <row r="423" ht="15.75" customHeight="1">
      <c r="B423" s="36"/>
    </row>
    <row r="424" ht="15.75" customHeight="1">
      <c r="B424" s="36"/>
    </row>
    <row r="425" ht="15.75" customHeight="1">
      <c r="B425" s="36"/>
    </row>
    <row r="426" ht="15.75" customHeight="1">
      <c r="B426" s="36"/>
    </row>
    <row r="427" ht="15.75" customHeight="1">
      <c r="B427" s="36"/>
    </row>
    <row r="428" ht="15.75" customHeight="1">
      <c r="B428" s="36"/>
    </row>
    <row r="429" ht="15.75" customHeight="1">
      <c r="B429" s="36"/>
    </row>
    <row r="430" ht="15.75" customHeight="1">
      <c r="B430" s="36"/>
    </row>
    <row r="431" ht="15.75" customHeight="1">
      <c r="B431" s="36"/>
    </row>
    <row r="432" ht="15.75" customHeight="1">
      <c r="B432" s="36"/>
    </row>
    <row r="433" ht="15.75" customHeight="1">
      <c r="B433" s="36"/>
    </row>
    <row r="434" ht="15.75" customHeight="1">
      <c r="B434" s="36"/>
    </row>
    <row r="435" ht="15.75" customHeight="1">
      <c r="B435" s="36"/>
    </row>
    <row r="436" ht="15.75" customHeight="1">
      <c r="B436" s="36"/>
    </row>
    <row r="437" ht="15.75" customHeight="1">
      <c r="B437" s="36"/>
    </row>
    <row r="438" ht="15.75" customHeight="1">
      <c r="B438" s="36"/>
    </row>
    <row r="439" ht="15.75" customHeight="1">
      <c r="B439" s="36"/>
    </row>
    <row r="440" ht="15.75" customHeight="1">
      <c r="B440" s="36"/>
    </row>
    <row r="441" ht="15.75" customHeight="1">
      <c r="B441" s="36"/>
    </row>
    <row r="442" ht="15.75" customHeight="1">
      <c r="B442" s="36"/>
    </row>
    <row r="443" ht="15.75" customHeight="1">
      <c r="B443" s="36"/>
    </row>
    <row r="444" ht="15.75" customHeight="1">
      <c r="B444" s="36"/>
    </row>
    <row r="445" ht="15.75" customHeight="1">
      <c r="B445" s="36"/>
    </row>
    <row r="446" ht="15.75" customHeight="1">
      <c r="B446" s="36"/>
    </row>
    <row r="447" ht="15.75" customHeight="1">
      <c r="B447" s="36"/>
    </row>
    <row r="448" ht="15.75" customHeight="1">
      <c r="B448" s="36"/>
    </row>
    <row r="449" ht="15.75" customHeight="1">
      <c r="B449" s="36"/>
    </row>
    <row r="450" ht="15.75" customHeight="1">
      <c r="B450" s="36"/>
    </row>
    <row r="451" ht="15.75" customHeight="1">
      <c r="B451" s="36"/>
    </row>
    <row r="452" ht="15.75" customHeight="1">
      <c r="B452" s="36"/>
    </row>
    <row r="453" ht="15.75" customHeight="1">
      <c r="B453" s="36"/>
    </row>
    <row r="454" ht="15.75" customHeight="1">
      <c r="B454" s="36"/>
    </row>
    <row r="455" ht="15.75" customHeight="1">
      <c r="B455" s="36"/>
    </row>
    <row r="456" ht="15.75" customHeight="1">
      <c r="B456" s="36"/>
    </row>
    <row r="457" ht="15.75" customHeight="1">
      <c r="B457" s="36"/>
    </row>
    <row r="458" ht="15.75" customHeight="1">
      <c r="B458" s="36"/>
    </row>
    <row r="459" ht="15.75" customHeight="1">
      <c r="B459" s="36"/>
    </row>
    <row r="460" ht="15.75" customHeight="1">
      <c r="B460" s="36"/>
    </row>
    <row r="461" ht="15.75" customHeight="1">
      <c r="B461" s="36"/>
    </row>
    <row r="462" ht="15.75" customHeight="1">
      <c r="B462" s="36"/>
    </row>
    <row r="463" ht="15.75" customHeight="1">
      <c r="B463" s="36"/>
    </row>
    <row r="464" ht="15.75" customHeight="1">
      <c r="B464" s="36"/>
    </row>
    <row r="465" ht="15.75" customHeight="1">
      <c r="B465" s="36"/>
    </row>
    <row r="466" ht="15.75" customHeight="1">
      <c r="B466" s="36"/>
    </row>
    <row r="467" ht="15.75" customHeight="1">
      <c r="B467" s="36"/>
    </row>
    <row r="468" ht="15.75" customHeight="1">
      <c r="B468" s="36"/>
    </row>
    <row r="469" ht="15.75" customHeight="1">
      <c r="B469" s="36"/>
    </row>
    <row r="470" ht="15.75" customHeight="1">
      <c r="B470" s="36"/>
    </row>
    <row r="471" ht="15.75" customHeight="1">
      <c r="B471" s="36"/>
    </row>
    <row r="472" ht="15.75" customHeight="1">
      <c r="B472" s="36"/>
    </row>
    <row r="473" ht="15.75" customHeight="1">
      <c r="B473" s="36"/>
    </row>
    <row r="474" ht="15.75" customHeight="1">
      <c r="B474" s="36"/>
    </row>
    <row r="475" ht="15.75" customHeight="1">
      <c r="B475" s="36"/>
    </row>
    <row r="476" ht="15.75" customHeight="1">
      <c r="B476" s="36"/>
    </row>
    <row r="477" ht="15.75" customHeight="1">
      <c r="B477" s="36"/>
    </row>
    <row r="478" ht="15.75" customHeight="1">
      <c r="B478" s="36"/>
    </row>
    <row r="479" ht="15.75" customHeight="1">
      <c r="B479" s="36"/>
    </row>
    <row r="480" ht="15.75" customHeight="1">
      <c r="B480" s="36"/>
    </row>
    <row r="481" ht="15.75" customHeight="1">
      <c r="B481" s="36"/>
    </row>
    <row r="482" ht="15.75" customHeight="1">
      <c r="B482" s="36"/>
    </row>
    <row r="483" ht="15.75" customHeight="1">
      <c r="B483" s="36"/>
    </row>
    <row r="484" ht="15.75" customHeight="1">
      <c r="B484" s="36"/>
    </row>
    <row r="485" ht="15.75" customHeight="1">
      <c r="B485" s="36"/>
    </row>
    <row r="486" ht="15.75" customHeight="1">
      <c r="B486" s="36"/>
    </row>
    <row r="487" ht="15.75" customHeight="1">
      <c r="B487" s="36"/>
    </row>
    <row r="488" ht="15.75" customHeight="1">
      <c r="B488" s="36"/>
    </row>
    <row r="489" ht="15.75" customHeight="1">
      <c r="B489" s="36"/>
    </row>
    <row r="490" ht="15.75" customHeight="1">
      <c r="B490" s="36"/>
    </row>
    <row r="491" ht="15.75" customHeight="1">
      <c r="B491" s="36"/>
    </row>
    <row r="492" ht="15.75" customHeight="1">
      <c r="B492" s="36"/>
    </row>
    <row r="493" ht="15.75" customHeight="1">
      <c r="B493" s="36"/>
    </row>
    <row r="494" ht="15.75" customHeight="1">
      <c r="B494" s="36"/>
    </row>
    <row r="495" ht="15.75" customHeight="1">
      <c r="B495" s="36"/>
    </row>
    <row r="496" ht="15.75" customHeight="1">
      <c r="B496" s="36"/>
    </row>
    <row r="497" ht="15.75" customHeight="1">
      <c r="B497" s="36"/>
    </row>
    <row r="498" ht="15.75" customHeight="1">
      <c r="B498" s="36"/>
    </row>
    <row r="499" ht="15.75" customHeight="1">
      <c r="B499" s="36"/>
    </row>
    <row r="500" ht="15.75" customHeight="1">
      <c r="B500" s="36"/>
    </row>
    <row r="501" ht="15.75" customHeight="1">
      <c r="B501" s="36"/>
    </row>
    <row r="502" ht="15.75" customHeight="1">
      <c r="B502" s="36"/>
    </row>
    <row r="503" ht="15.75" customHeight="1">
      <c r="B503" s="36"/>
    </row>
    <row r="504" ht="15.75" customHeight="1">
      <c r="B504" s="36"/>
    </row>
    <row r="505" ht="15.75" customHeight="1">
      <c r="B505" s="36"/>
    </row>
    <row r="506" ht="15.75" customHeight="1">
      <c r="B506" s="36"/>
    </row>
    <row r="507" ht="15.75" customHeight="1">
      <c r="B507" s="36"/>
    </row>
    <row r="508" ht="15.75" customHeight="1">
      <c r="B508" s="36"/>
    </row>
    <row r="509" ht="15.75" customHeight="1">
      <c r="B509" s="36"/>
    </row>
    <row r="510" ht="15.75" customHeight="1">
      <c r="B510" s="36"/>
    </row>
    <row r="511" ht="15.75" customHeight="1">
      <c r="B511" s="36"/>
    </row>
    <row r="512" ht="15.75" customHeight="1">
      <c r="B512" s="36"/>
    </row>
    <row r="513" ht="15.75" customHeight="1">
      <c r="B513" s="36"/>
    </row>
    <row r="514" ht="15.75" customHeight="1">
      <c r="B514" s="36"/>
    </row>
    <row r="515" ht="15.75" customHeight="1">
      <c r="B515" s="36"/>
    </row>
    <row r="516" ht="15.75" customHeight="1">
      <c r="B516" s="36"/>
    </row>
    <row r="517" ht="15.75" customHeight="1">
      <c r="B517" s="36"/>
    </row>
    <row r="518" ht="15.75" customHeight="1">
      <c r="B518" s="36"/>
    </row>
    <row r="519" ht="15.75" customHeight="1">
      <c r="B519" s="36"/>
    </row>
    <row r="520" ht="15.75" customHeight="1">
      <c r="B520" s="36"/>
    </row>
    <row r="521" ht="15.75" customHeight="1">
      <c r="B521" s="36"/>
    </row>
    <row r="522" ht="15.75" customHeight="1">
      <c r="B522" s="36"/>
    </row>
    <row r="523" ht="15.75" customHeight="1">
      <c r="B523" s="36"/>
    </row>
    <row r="524" ht="15.75" customHeight="1">
      <c r="B524" s="36"/>
    </row>
    <row r="525" ht="15.75" customHeight="1">
      <c r="B525" s="36"/>
    </row>
    <row r="526" ht="15.75" customHeight="1">
      <c r="B526" s="36"/>
    </row>
    <row r="527" ht="15.75" customHeight="1">
      <c r="B527" s="36"/>
    </row>
    <row r="528" ht="15.75" customHeight="1">
      <c r="B528" s="36"/>
    </row>
    <row r="529" ht="15.75" customHeight="1">
      <c r="B529" s="36"/>
    </row>
    <row r="530" ht="15.75" customHeight="1">
      <c r="B530" s="36"/>
    </row>
    <row r="531" ht="15.75" customHeight="1">
      <c r="B531" s="36"/>
    </row>
    <row r="532" ht="15.75" customHeight="1">
      <c r="B532" s="36"/>
    </row>
    <row r="533" ht="15.75" customHeight="1">
      <c r="B533" s="36"/>
    </row>
    <row r="534" ht="15.75" customHeight="1">
      <c r="B534" s="36"/>
    </row>
    <row r="535" ht="15.75" customHeight="1">
      <c r="B535" s="36"/>
    </row>
    <row r="536" ht="15.75" customHeight="1">
      <c r="B536" s="36"/>
    </row>
    <row r="537" ht="15.75" customHeight="1">
      <c r="B537" s="36"/>
    </row>
    <row r="538" ht="15.75" customHeight="1">
      <c r="B538" s="36"/>
    </row>
    <row r="539" ht="15.75" customHeight="1">
      <c r="B539" s="36"/>
    </row>
    <row r="540" ht="15.75" customHeight="1">
      <c r="B540" s="36"/>
    </row>
    <row r="541" ht="15.75" customHeight="1">
      <c r="B541" s="36"/>
    </row>
    <row r="542" ht="15.75" customHeight="1">
      <c r="B542" s="36"/>
    </row>
    <row r="543" ht="15.75" customHeight="1">
      <c r="B543" s="36"/>
    </row>
    <row r="544" ht="15.75" customHeight="1">
      <c r="B544" s="36"/>
    </row>
    <row r="545" ht="15.75" customHeight="1">
      <c r="B545" s="36"/>
    </row>
    <row r="546" ht="15.75" customHeight="1">
      <c r="B546" s="36"/>
    </row>
    <row r="547" ht="15.75" customHeight="1">
      <c r="B547" s="36"/>
    </row>
    <row r="548" ht="15.75" customHeight="1">
      <c r="B548" s="36"/>
    </row>
    <row r="549" ht="15.75" customHeight="1">
      <c r="B549" s="36"/>
    </row>
    <row r="550" ht="15.75" customHeight="1">
      <c r="B550" s="36"/>
    </row>
    <row r="551" ht="15.75" customHeight="1">
      <c r="B551" s="36"/>
    </row>
    <row r="552" ht="15.75" customHeight="1">
      <c r="B552" s="36"/>
    </row>
    <row r="553" ht="15.75" customHeight="1">
      <c r="B553" s="36"/>
    </row>
    <row r="554" ht="15.75" customHeight="1">
      <c r="B554" s="36"/>
    </row>
    <row r="555" ht="15.75" customHeight="1">
      <c r="B555" s="36"/>
    </row>
    <row r="556" ht="15.75" customHeight="1">
      <c r="B556" s="36"/>
    </row>
    <row r="557" ht="15.75" customHeight="1">
      <c r="B557" s="36"/>
    </row>
    <row r="558" ht="15.75" customHeight="1">
      <c r="B558" s="36"/>
    </row>
    <row r="559" ht="15.75" customHeight="1">
      <c r="B559" s="36"/>
    </row>
    <row r="560" ht="15.75" customHeight="1">
      <c r="B560" s="36"/>
    </row>
    <row r="561" ht="15.75" customHeight="1">
      <c r="B561" s="36"/>
    </row>
    <row r="562" ht="15.75" customHeight="1">
      <c r="B562" s="36"/>
    </row>
    <row r="563" ht="15.75" customHeight="1">
      <c r="B563" s="36"/>
    </row>
    <row r="564" ht="15.75" customHeight="1">
      <c r="B564" s="36"/>
    </row>
    <row r="565" ht="15.75" customHeight="1">
      <c r="B565" s="36"/>
    </row>
    <row r="566" ht="15.75" customHeight="1">
      <c r="B566" s="36"/>
    </row>
    <row r="567" ht="15.75" customHeight="1">
      <c r="B567" s="36"/>
    </row>
    <row r="568" ht="15.75" customHeight="1">
      <c r="B568" s="36"/>
    </row>
    <row r="569" ht="15.75" customHeight="1">
      <c r="B569" s="36"/>
    </row>
    <row r="570" ht="15.75" customHeight="1">
      <c r="B570" s="36"/>
    </row>
    <row r="571" ht="15.75" customHeight="1">
      <c r="B571" s="36"/>
    </row>
    <row r="572" ht="15.75" customHeight="1">
      <c r="B572" s="36"/>
    </row>
    <row r="573" ht="15.75" customHeight="1">
      <c r="B573" s="36"/>
    </row>
    <row r="574" ht="15.75" customHeight="1">
      <c r="B574" s="36"/>
    </row>
    <row r="575" ht="15.75" customHeight="1">
      <c r="B575" s="36"/>
    </row>
    <row r="576" ht="15.75" customHeight="1">
      <c r="B576" s="36"/>
    </row>
    <row r="577" ht="15.75" customHeight="1">
      <c r="B577" s="36"/>
    </row>
    <row r="578" ht="15.75" customHeight="1">
      <c r="B578" s="36"/>
    </row>
    <row r="579" ht="15.75" customHeight="1">
      <c r="B579" s="36"/>
    </row>
    <row r="580" ht="15.75" customHeight="1">
      <c r="B580" s="36"/>
    </row>
    <row r="581" ht="15.75" customHeight="1">
      <c r="B581" s="36"/>
    </row>
    <row r="582" ht="15.75" customHeight="1">
      <c r="B582" s="36"/>
    </row>
    <row r="583" ht="15.75" customHeight="1">
      <c r="B583" s="36"/>
    </row>
    <row r="584" ht="15.75" customHeight="1">
      <c r="B584" s="36"/>
    </row>
    <row r="585" ht="15.75" customHeight="1">
      <c r="B585" s="36"/>
    </row>
    <row r="586" ht="15.75" customHeight="1">
      <c r="B586" s="36"/>
    </row>
    <row r="587" ht="15.75" customHeight="1">
      <c r="B587" s="36"/>
    </row>
    <row r="588" ht="15.75" customHeight="1">
      <c r="B588" s="36"/>
    </row>
    <row r="589" ht="15.75" customHeight="1">
      <c r="B589" s="36"/>
    </row>
    <row r="590" ht="15.75" customHeight="1">
      <c r="B590" s="36"/>
    </row>
    <row r="591" ht="15.75" customHeight="1">
      <c r="B591" s="36"/>
    </row>
    <row r="592" ht="15.75" customHeight="1">
      <c r="B592" s="36"/>
    </row>
    <row r="593" ht="15.75" customHeight="1">
      <c r="B593" s="36"/>
    </row>
    <row r="594" ht="15.75" customHeight="1">
      <c r="B594" s="36"/>
    </row>
    <row r="595" ht="15.75" customHeight="1">
      <c r="B595" s="36"/>
    </row>
    <row r="596" ht="15.75" customHeight="1">
      <c r="B596" s="36"/>
    </row>
    <row r="597" ht="15.75" customHeight="1">
      <c r="B597" s="36"/>
    </row>
    <row r="598" ht="15.75" customHeight="1">
      <c r="B598" s="36"/>
    </row>
    <row r="599" ht="15.75" customHeight="1">
      <c r="B599" s="36"/>
    </row>
    <row r="600" ht="15.75" customHeight="1">
      <c r="B600" s="36"/>
    </row>
    <row r="601" ht="15.75" customHeight="1">
      <c r="B601" s="36"/>
    </row>
    <row r="602" ht="15.75" customHeight="1">
      <c r="B602" s="36"/>
    </row>
    <row r="603" ht="15.75" customHeight="1">
      <c r="B603" s="36"/>
    </row>
    <row r="604" ht="15.75" customHeight="1">
      <c r="B604" s="36"/>
    </row>
    <row r="605" ht="15.75" customHeight="1">
      <c r="B605" s="36"/>
    </row>
    <row r="606" ht="15.75" customHeight="1">
      <c r="B606" s="36"/>
    </row>
    <row r="607" ht="15.75" customHeight="1">
      <c r="B607" s="36"/>
    </row>
    <row r="608" ht="15.75" customHeight="1">
      <c r="B608" s="36"/>
    </row>
    <row r="609" ht="15.75" customHeight="1">
      <c r="B609" s="36"/>
    </row>
    <row r="610" ht="15.75" customHeight="1">
      <c r="B610" s="36"/>
    </row>
    <row r="611" ht="15.75" customHeight="1">
      <c r="B611" s="36"/>
    </row>
    <row r="612" ht="15.75" customHeight="1">
      <c r="B612" s="36"/>
    </row>
    <row r="613" ht="15.75" customHeight="1">
      <c r="B613" s="36"/>
    </row>
    <row r="614" ht="15.75" customHeight="1">
      <c r="B614" s="36"/>
    </row>
    <row r="615" ht="15.75" customHeight="1">
      <c r="B615" s="36"/>
    </row>
    <row r="616" ht="15.75" customHeight="1">
      <c r="B616" s="36"/>
    </row>
    <row r="617" ht="15.75" customHeight="1">
      <c r="B617" s="36"/>
    </row>
    <row r="618" ht="15.75" customHeight="1">
      <c r="B618" s="36"/>
    </row>
    <row r="619" ht="15.75" customHeight="1">
      <c r="B619" s="36"/>
    </row>
    <row r="620" ht="15.75" customHeight="1">
      <c r="B620" s="36"/>
    </row>
    <row r="621" ht="15.75" customHeight="1">
      <c r="B621" s="36"/>
    </row>
    <row r="622" ht="15.75" customHeight="1">
      <c r="B622" s="36"/>
    </row>
    <row r="623" ht="15.75" customHeight="1">
      <c r="B623" s="36"/>
    </row>
    <row r="624" ht="15.75" customHeight="1">
      <c r="B624" s="36"/>
    </row>
    <row r="625" ht="15.75" customHeight="1">
      <c r="B625" s="36"/>
    </row>
    <row r="626" ht="15.75" customHeight="1">
      <c r="B626" s="36"/>
    </row>
    <row r="627" ht="15.75" customHeight="1">
      <c r="B627" s="36"/>
    </row>
    <row r="628" ht="15.75" customHeight="1">
      <c r="B628" s="36"/>
    </row>
    <row r="629" ht="15.75" customHeight="1">
      <c r="B629" s="36"/>
    </row>
    <row r="630" ht="15.75" customHeight="1">
      <c r="B630" s="36"/>
    </row>
    <row r="631" ht="15.75" customHeight="1">
      <c r="B631" s="36"/>
    </row>
    <row r="632" ht="15.75" customHeight="1">
      <c r="B632" s="36"/>
    </row>
    <row r="633" ht="15.75" customHeight="1">
      <c r="B633" s="36"/>
    </row>
    <row r="634" ht="15.75" customHeight="1">
      <c r="B634" s="36"/>
    </row>
    <row r="635" ht="15.75" customHeight="1">
      <c r="B635" s="36"/>
    </row>
    <row r="636" ht="15.75" customHeight="1">
      <c r="B636" s="36"/>
    </row>
    <row r="637" ht="15.75" customHeight="1">
      <c r="B637" s="36"/>
    </row>
    <row r="638" ht="15.75" customHeight="1">
      <c r="B638" s="36"/>
    </row>
    <row r="639" ht="15.75" customHeight="1">
      <c r="B639" s="36"/>
    </row>
    <row r="640" ht="15.75" customHeight="1">
      <c r="B640" s="36"/>
    </row>
    <row r="641" ht="15.75" customHeight="1">
      <c r="B641" s="36"/>
    </row>
    <row r="642" ht="15.75" customHeight="1">
      <c r="B642" s="36"/>
    </row>
    <row r="643" ht="15.75" customHeight="1">
      <c r="B643" s="36"/>
    </row>
    <row r="644" ht="15.75" customHeight="1">
      <c r="B644" s="36"/>
    </row>
    <row r="645" ht="15.75" customHeight="1">
      <c r="B645" s="36"/>
    </row>
    <row r="646" ht="15.75" customHeight="1">
      <c r="B646" s="36"/>
    </row>
    <row r="647" ht="15.75" customHeight="1">
      <c r="B647" s="36"/>
    </row>
    <row r="648" ht="15.75" customHeight="1">
      <c r="B648" s="36"/>
    </row>
    <row r="649" ht="15.75" customHeight="1">
      <c r="B649" s="36"/>
    </row>
    <row r="650" ht="15.75" customHeight="1">
      <c r="B650" s="36"/>
    </row>
    <row r="651" ht="15.75" customHeight="1">
      <c r="B651" s="36"/>
    </row>
    <row r="652" ht="15.75" customHeight="1">
      <c r="B652" s="36"/>
    </row>
    <row r="653" ht="15.75" customHeight="1">
      <c r="B653" s="36"/>
    </row>
    <row r="654" ht="15.75" customHeight="1">
      <c r="B654" s="36"/>
    </row>
    <row r="655" ht="15.75" customHeight="1">
      <c r="B655" s="36"/>
    </row>
    <row r="656" ht="15.75" customHeight="1">
      <c r="B656" s="36"/>
    </row>
    <row r="657" ht="15.75" customHeight="1">
      <c r="B657" s="36"/>
    </row>
    <row r="658" ht="15.75" customHeight="1">
      <c r="B658" s="36"/>
    </row>
    <row r="659" ht="15.75" customHeight="1">
      <c r="B659" s="36"/>
    </row>
    <row r="660" ht="15.75" customHeight="1">
      <c r="B660" s="36"/>
    </row>
    <row r="661" ht="15.75" customHeight="1">
      <c r="B661" s="36"/>
    </row>
    <row r="662" ht="15.75" customHeight="1">
      <c r="B662" s="36"/>
    </row>
    <row r="663" ht="15.75" customHeight="1">
      <c r="B663" s="36"/>
    </row>
    <row r="664" ht="15.75" customHeight="1">
      <c r="B664" s="36"/>
    </row>
    <row r="665" ht="15.75" customHeight="1">
      <c r="B665" s="36"/>
    </row>
    <row r="666" ht="15.75" customHeight="1">
      <c r="B666" s="36"/>
    </row>
    <row r="667" ht="15.75" customHeight="1">
      <c r="B667" s="36"/>
    </row>
    <row r="668" ht="15.75" customHeight="1">
      <c r="B668" s="36"/>
    </row>
    <row r="669" ht="15.75" customHeight="1">
      <c r="B669" s="36"/>
    </row>
    <row r="670" ht="15.75" customHeight="1">
      <c r="B670" s="36"/>
    </row>
    <row r="671" ht="15.75" customHeight="1">
      <c r="B671" s="36"/>
    </row>
    <row r="672" ht="15.75" customHeight="1">
      <c r="B672" s="36"/>
    </row>
    <row r="673" ht="15.75" customHeight="1">
      <c r="B673" s="36"/>
    </row>
    <row r="674" ht="15.75" customHeight="1">
      <c r="B674" s="36"/>
    </row>
    <row r="675" ht="15.75" customHeight="1">
      <c r="B675" s="36"/>
    </row>
    <row r="676" ht="15.75" customHeight="1">
      <c r="B676" s="36"/>
    </row>
    <row r="677" ht="15.75" customHeight="1">
      <c r="B677" s="36"/>
    </row>
    <row r="678" ht="15.75" customHeight="1">
      <c r="B678" s="36"/>
    </row>
    <row r="679" ht="15.75" customHeight="1">
      <c r="B679" s="36"/>
    </row>
    <row r="680" ht="15.75" customHeight="1">
      <c r="B680" s="36"/>
    </row>
    <row r="681" ht="15.75" customHeight="1">
      <c r="B681" s="36"/>
    </row>
    <row r="682" ht="15.75" customHeight="1">
      <c r="B682" s="36"/>
    </row>
    <row r="683" ht="15.75" customHeight="1">
      <c r="B683" s="36"/>
    </row>
    <row r="684" ht="15.75" customHeight="1">
      <c r="B684" s="36"/>
    </row>
    <row r="685" ht="15.75" customHeight="1">
      <c r="B685" s="36"/>
    </row>
    <row r="686" ht="15.75" customHeight="1">
      <c r="B686" s="36"/>
    </row>
    <row r="687" ht="15.75" customHeight="1">
      <c r="B687" s="36"/>
    </row>
    <row r="688" ht="15.75" customHeight="1">
      <c r="B688" s="36"/>
    </row>
    <row r="689" ht="15.75" customHeight="1">
      <c r="B689" s="36"/>
    </row>
    <row r="690" ht="15.75" customHeight="1">
      <c r="B690" s="36"/>
    </row>
    <row r="691" ht="15.75" customHeight="1">
      <c r="B691" s="36"/>
    </row>
    <row r="692" ht="15.75" customHeight="1">
      <c r="B692" s="36"/>
    </row>
    <row r="693" ht="15.75" customHeight="1">
      <c r="B693" s="36"/>
    </row>
    <row r="694" ht="15.75" customHeight="1">
      <c r="B694" s="36"/>
    </row>
    <row r="695" ht="15.75" customHeight="1">
      <c r="B695" s="36"/>
    </row>
    <row r="696" ht="15.75" customHeight="1">
      <c r="B696" s="36"/>
    </row>
    <row r="697" ht="15.75" customHeight="1">
      <c r="B697" s="36"/>
    </row>
    <row r="698" ht="15.75" customHeight="1">
      <c r="B698" s="36"/>
    </row>
    <row r="699" ht="15.75" customHeight="1">
      <c r="B699" s="36"/>
    </row>
    <row r="700" ht="15.75" customHeight="1">
      <c r="B700" s="36"/>
    </row>
    <row r="701" ht="15.75" customHeight="1">
      <c r="B701" s="36"/>
    </row>
    <row r="702" ht="15.75" customHeight="1">
      <c r="B702" s="36"/>
    </row>
    <row r="703" ht="15.75" customHeight="1">
      <c r="B703" s="36"/>
    </row>
    <row r="704" ht="15.75" customHeight="1">
      <c r="B704" s="36"/>
    </row>
    <row r="705" ht="15.75" customHeight="1">
      <c r="B705" s="36"/>
    </row>
    <row r="706" ht="15.75" customHeight="1">
      <c r="B706" s="36"/>
    </row>
    <row r="707" ht="15.75" customHeight="1">
      <c r="B707" s="36"/>
    </row>
    <row r="708" ht="15.75" customHeight="1">
      <c r="B708" s="36"/>
    </row>
    <row r="709" ht="15.75" customHeight="1">
      <c r="B709" s="36"/>
    </row>
    <row r="710" ht="15.75" customHeight="1">
      <c r="B710" s="36"/>
    </row>
    <row r="711" ht="15.75" customHeight="1">
      <c r="B711" s="36"/>
    </row>
    <row r="712" ht="15.75" customHeight="1">
      <c r="B712" s="36"/>
    </row>
    <row r="713" ht="15.75" customHeight="1">
      <c r="B713" s="36"/>
    </row>
    <row r="714" ht="15.75" customHeight="1">
      <c r="B714" s="36"/>
    </row>
    <row r="715" ht="15.75" customHeight="1">
      <c r="B715" s="36"/>
    </row>
    <row r="716" ht="15.75" customHeight="1">
      <c r="B716" s="36"/>
    </row>
    <row r="717" ht="15.75" customHeight="1">
      <c r="B717" s="36"/>
    </row>
    <row r="718" ht="15.75" customHeight="1">
      <c r="B718" s="36"/>
    </row>
    <row r="719" ht="15.75" customHeight="1">
      <c r="B719" s="36"/>
    </row>
    <row r="720" ht="15.75" customHeight="1">
      <c r="B720" s="36"/>
    </row>
    <row r="721" ht="15.75" customHeight="1">
      <c r="B721" s="36"/>
    </row>
    <row r="722" ht="15.75" customHeight="1">
      <c r="B722" s="36"/>
    </row>
    <row r="723" ht="15.75" customHeight="1">
      <c r="B723" s="36"/>
    </row>
    <row r="724" ht="15.75" customHeight="1">
      <c r="B724" s="36"/>
    </row>
    <row r="725" ht="15.75" customHeight="1">
      <c r="B725" s="36"/>
    </row>
    <row r="726" ht="15.75" customHeight="1">
      <c r="B726" s="36"/>
    </row>
    <row r="727" ht="15.75" customHeight="1">
      <c r="B727" s="36"/>
    </row>
    <row r="728" ht="15.75" customHeight="1">
      <c r="B728" s="36"/>
    </row>
    <row r="729" ht="15.75" customHeight="1">
      <c r="B729" s="36"/>
    </row>
    <row r="730" ht="15.75" customHeight="1">
      <c r="B730" s="36"/>
    </row>
    <row r="731" ht="15.75" customHeight="1">
      <c r="B731" s="36"/>
    </row>
    <row r="732" ht="15.75" customHeight="1">
      <c r="B732" s="36"/>
    </row>
    <row r="733" ht="15.75" customHeight="1">
      <c r="B733" s="36"/>
    </row>
    <row r="734" ht="15.75" customHeight="1">
      <c r="B734" s="36"/>
    </row>
    <row r="735" ht="15.75" customHeight="1">
      <c r="B735" s="36"/>
    </row>
    <row r="736" ht="15.75" customHeight="1">
      <c r="B736" s="36"/>
    </row>
    <row r="737" ht="15.75" customHeight="1">
      <c r="B737" s="36"/>
    </row>
    <row r="738" ht="15.75" customHeight="1">
      <c r="B738" s="36"/>
    </row>
    <row r="739" ht="15.75" customHeight="1">
      <c r="B739" s="36"/>
    </row>
    <row r="740" ht="15.75" customHeight="1">
      <c r="B740" s="36"/>
    </row>
    <row r="741" ht="15.75" customHeight="1">
      <c r="B741" s="36"/>
    </row>
    <row r="742" ht="15.75" customHeight="1">
      <c r="B742" s="36"/>
    </row>
    <row r="743" ht="15.75" customHeight="1">
      <c r="B743" s="36"/>
    </row>
    <row r="744" ht="15.75" customHeight="1">
      <c r="B744" s="36"/>
    </row>
    <row r="745" ht="15.75" customHeight="1">
      <c r="B745" s="36"/>
    </row>
    <row r="746" ht="15.75" customHeight="1">
      <c r="B746" s="36"/>
    </row>
    <row r="747" ht="15.75" customHeight="1">
      <c r="B747" s="36"/>
    </row>
    <row r="748" ht="15.75" customHeight="1">
      <c r="B748" s="36"/>
    </row>
    <row r="749" ht="15.75" customHeight="1">
      <c r="B749" s="36"/>
    </row>
    <row r="750" ht="15.75" customHeight="1">
      <c r="B750" s="36"/>
    </row>
    <row r="751" ht="15.75" customHeight="1">
      <c r="B751" s="36"/>
    </row>
    <row r="752" ht="15.75" customHeight="1">
      <c r="B752" s="36"/>
    </row>
    <row r="753" ht="15.75" customHeight="1">
      <c r="B753" s="36"/>
    </row>
    <row r="754" ht="15.75" customHeight="1">
      <c r="B754" s="36"/>
    </row>
    <row r="755" ht="15.75" customHeight="1">
      <c r="B755" s="36"/>
    </row>
    <row r="756" ht="15.75" customHeight="1">
      <c r="B756" s="36"/>
    </row>
    <row r="757" ht="15.75" customHeight="1">
      <c r="B757" s="36"/>
    </row>
    <row r="758" ht="15.75" customHeight="1">
      <c r="B758" s="36"/>
    </row>
    <row r="759" ht="15.75" customHeight="1">
      <c r="B759" s="36"/>
    </row>
    <row r="760" ht="15.75" customHeight="1">
      <c r="B760" s="36"/>
    </row>
    <row r="761" ht="15.75" customHeight="1">
      <c r="B761" s="36"/>
    </row>
    <row r="762" ht="15.75" customHeight="1">
      <c r="B762" s="36"/>
    </row>
    <row r="763" ht="15.75" customHeight="1">
      <c r="B763" s="36"/>
    </row>
    <row r="764" ht="15.75" customHeight="1">
      <c r="B764" s="36"/>
    </row>
    <row r="765" ht="15.75" customHeight="1">
      <c r="B765" s="36"/>
    </row>
    <row r="766" ht="15.75" customHeight="1">
      <c r="B766" s="36"/>
    </row>
    <row r="767" ht="15.75" customHeight="1">
      <c r="B767" s="36"/>
    </row>
    <row r="768" ht="15.75" customHeight="1">
      <c r="B768" s="36"/>
    </row>
    <row r="769" ht="15.75" customHeight="1">
      <c r="B769" s="36"/>
    </row>
    <row r="770" ht="15.75" customHeight="1">
      <c r="B770" s="36"/>
    </row>
    <row r="771" ht="15.75" customHeight="1">
      <c r="B771" s="36"/>
    </row>
    <row r="772" ht="15.75" customHeight="1">
      <c r="B772" s="36"/>
    </row>
    <row r="773" ht="15.75" customHeight="1">
      <c r="B773" s="36"/>
    </row>
    <row r="774" ht="15.75" customHeight="1">
      <c r="B774" s="36"/>
    </row>
    <row r="775" ht="15.75" customHeight="1">
      <c r="B775" s="36"/>
    </row>
    <row r="776" ht="15.75" customHeight="1">
      <c r="B776" s="36"/>
    </row>
    <row r="777" ht="15.75" customHeight="1">
      <c r="B777" s="36"/>
    </row>
    <row r="778" ht="15.75" customHeight="1">
      <c r="B778" s="36"/>
    </row>
    <row r="779" ht="15.75" customHeight="1">
      <c r="B779" s="36"/>
    </row>
    <row r="780" ht="15.75" customHeight="1">
      <c r="B780" s="36"/>
    </row>
    <row r="781" ht="15.75" customHeight="1">
      <c r="B781" s="36"/>
    </row>
    <row r="782" ht="15.75" customHeight="1">
      <c r="B782" s="36"/>
    </row>
    <row r="783" ht="15.75" customHeight="1">
      <c r="B783" s="36"/>
    </row>
    <row r="784" ht="15.75" customHeight="1">
      <c r="B784" s="36"/>
    </row>
    <row r="785" ht="15.75" customHeight="1">
      <c r="B785" s="36"/>
    </row>
    <row r="786" ht="15.75" customHeight="1">
      <c r="B786" s="36"/>
    </row>
    <row r="787" ht="15.75" customHeight="1">
      <c r="B787" s="36"/>
    </row>
    <row r="788" ht="15.75" customHeight="1">
      <c r="B788" s="36"/>
    </row>
    <row r="789" ht="15.75" customHeight="1">
      <c r="B789" s="36"/>
    </row>
    <row r="790" ht="15.75" customHeight="1">
      <c r="B790" s="36"/>
    </row>
    <row r="791" ht="15.75" customHeight="1">
      <c r="B791" s="36"/>
    </row>
    <row r="792" ht="15.75" customHeight="1">
      <c r="B792" s="36"/>
    </row>
    <row r="793" ht="15.75" customHeight="1">
      <c r="B793" s="36"/>
    </row>
    <row r="794" ht="15.75" customHeight="1">
      <c r="B794" s="36"/>
    </row>
    <row r="795" ht="15.75" customHeight="1">
      <c r="B795" s="36"/>
    </row>
    <row r="796" ht="15.75" customHeight="1">
      <c r="B796" s="36"/>
    </row>
    <row r="797" ht="15.75" customHeight="1">
      <c r="B797" s="36"/>
    </row>
    <row r="798" ht="15.75" customHeight="1">
      <c r="B798" s="36"/>
    </row>
    <row r="799" ht="15.75" customHeight="1">
      <c r="B799" s="36"/>
    </row>
    <row r="800" ht="15.75" customHeight="1">
      <c r="B800" s="36"/>
    </row>
    <row r="801" ht="15.75" customHeight="1">
      <c r="B801" s="36"/>
    </row>
    <row r="802" ht="15.75" customHeight="1">
      <c r="B802" s="36"/>
    </row>
    <row r="803" ht="15.75" customHeight="1">
      <c r="B803" s="36"/>
    </row>
    <row r="804" ht="15.75" customHeight="1">
      <c r="B804" s="36"/>
    </row>
    <row r="805" ht="15.75" customHeight="1">
      <c r="B805" s="36"/>
    </row>
    <row r="806" ht="15.75" customHeight="1">
      <c r="B806" s="36"/>
    </row>
    <row r="807" ht="15.75" customHeight="1">
      <c r="B807" s="36"/>
    </row>
    <row r="808" ht="15.75" customHeight="1">
      <c r="B808" s="36"/>
    </row>
    <row r="809" ht="15.75" customHeight="1">
      <c r="B809" s="36"/>
    </row>
    <row r="810" ht="15.75" customHeight="1">
      <c r="B810" s="36"/>
    </row>
    <row r="811" ht="15.75" customHeight="1">
      <c r="B811" s="36"/>
    </row>
    <row r="812" ht="15.75" customHeight="1">
      <c r="B812" s="36"/>
    </row>
    <row r="813" ht="15.75" customHeight="1">
      <c r="B813" s="36"/>
    </row>
    <row r="814" ht="15.75" customHeight="1">
      <c r="B814" s="36"/>
    </row>
    <row r="815" ht="15.75" customHeight="1">
      <c r="B815" s="36"/>
    </row>
    <row r="816" ht="15.75" customHeight="1">
      <c r="B816" s="36"/>
    </row>
    <row r="817" ht="15.75" customHeight="1">
      <c r="B817" s="36"/>
    </row>
    <row r="818" ht="15.75" customHeight="1">
      <c r="B818" s="36"/>
    </row>
    <row r="819" ht="15.75" customHeight="1">
      <c r="B819" s="36"/>
    </row>
    <row r="820" ht="15.75" customHeight="1">
      <c r="B820" s="36"/>
    </row>
    <row r="821" ht="15.75" customHeight="1">
      <c r="B821" s="36"/>
    </row>
    <row r="822" ht="15.75" customHeight="1">
      <c r="B822" s="36"/>
    </row>
    <row r="823" ht="15.75" customHeight="1">
      <c r="B823" s="36"/>
    </row>
    <row r="824" ht="15.75" customHeight="1">
      <c r="B824" s="36"/>
    </row>
    <row r="825" ht="15.75" customHeight="1">
      <c r="B825" s="36"/>
    </row>
    <row r="826" ht="15.75" customHeight="1">
      <c r="B826" s="36"/>
    </row>
    <row r="827" ht="15.75" customHeight="1">
      <c r="B827" s="36"/>
    </row>
    <row r="828" ht="15.75" customHeight="1">
      <c r="B828" s="36"/>
    </row>
    <row r="829" ht="15.75" customHeight="1">
      <c r="B829" s="36"/>
    </row>
    <row r="830" ht="15.75" customHeight="1">
      <c r="B830" s="36"/>
    </row>
    <row r="831" ht="15.75" customHeight="1">
      <c r="B831" s="36"/>
    </row>
    <row r="832" ht="15.75" customHeight="1">
      <c r="B832" s="36"/>
    </row>
    <row r="833" ht="15.75" customHeight="1">
      <c r="B833" s="36"/>
    </row>
    <row r="834" ht="15.75" customHeight="1">
      <c r="B834" s="36"/>
    </row>
    <row r="835" ht="15.75" customHeight="1">
      <c r="B835" s="36"/>
    </row>
    <row r="836" ht="15.75" customHeight="1">
      <c r="B836" s="36"/>
    </row>
    <row r="837" ht="15.75" customHeight="1">
      <c r="B837" s="36"/>
    </row>
    <row r="838" ht="15.75" customHeight="1">
      <c r="B838" s="36"/>
    </row>
    <row r="839" ht="15.75" customHeight="1">
      <c r="B839" s="36"/>
    </row>
    <row r="840" ht="15.75" customHeight="1">
      <c r="B840" s="36"/>
    </row>
    <row r="841" ht="15.75" customHeight="1">
      <c r="B841" s="36"/>
    </row>
    <row r="842" ht="15.75" customHeight="1">
      <c r="B842" s="36"/>
    </row>
    <row r="843" ht="15.75" customHeight="1">
      <c r="B843" s="36"/>
    </row>
    <row r="844" ht="15.75" customHeight="1">
      <c r="B844" s="36"/>
    </row>
    <row r="845" ht="15.75" customHeight="1">
      <c r="B845" s="36"/>
    </row>
    <row r="846" ht="15.75" customHeight="1">
      <c r="B846" s="36"/>
    </row>
    <row r="847" ht="15.75" customHeight="1">
      <c r="B847" s="36"/>
    </row>
    <row r="848" ht="15.75" customHeight="1">
      <c r="B848" s="36"/>
    </row>
    <row r="849" ht="15.75" customHeight="1">
      <c r="B849" s="36"/>
    </row>
    <row r="850" ht="15.75" customHeight="1">
      <c r="B850" s="36"/>
    </row>
    <row r="851" ht="15.75" customHeight="1">
      <c r="B851" s="36"/>
    </row>
    <row r="852" ht="15.75" customHeight="1">
      <c r="B852" s="36"/>
    </row>
    <row r="853" ht="15.75" customHeight="1">
      <c r="B853" s="36"/>
    </row>
    <row r="854" ht="15.75" customHeight="1">
      <c r="B854" s="36"/>
    </row>
    <row r="855" ht="15.75" customHeight="1">
      <c r="B855" s="36"/>
    </row>
    <row r="856" ht="15.75" customHeight="1">
      <c r="B856" s="36"/>
    </row>
    <row r="857" ht="15.75" customHeight="1">
      <c r="B857" s="36"/>
    </row>
    <row r="858" ht="15.75" customHeight="1">
      <c r="B858" s="36"/>
    </row>
    <row r="859" ht="15.75" customHeight="1">
      <c r="B859" s="36"/>
    </row>
    <row r="860" ht="15.75" customHeight="1">
      <c r="B860" s="36"/>
    </row>
    <row r="861" ht="15.75" customHeight="1">
      <c r="B861" s="36"/>
    </row>
    <row r="862" ht="15.75" customHeight="1">
      <c r="B862" s="36"/>
    </row>
    <row r="863" ht="15.75" customHeight="1">
      <c r="B863" s="36"/>
    </row>
    <row r="864" ht="15.75" customHeight="1">
      <c r="B864" s="36"/>
    </row>
    <row r="865" ht="15.75" customHeight="1">
      <c r="B865" s="36"/>
    </row>
    <row r="866" ht="15.75" customHeight="1">
      <c r="B866" s="36"/>
    </row>
    <row r="867" ht="15.75" customHeight="1">
      <c r="B867" s="36"/>
    </row>
    <row r="868" ht="15.75" customHeight="1">
      <c r="B868" s="36"/>
    </row>
    <row r="869" ht="15.75" customHeight="1">
      <c r="B869" s="36"/>
    </row>
    <row r="870" ht="15.75" customHeight="1">
      <c r="B870" s="36"/>
    </row>
    <row r="871" ht="15.75" customHeight="1">
      <c r="B871" s="36"/>
    </row>
    <row r="872" ht="15.75" customHeight="1">
      <c r="B872" s="36"/>
    </row>
    <row r="873" ht="15.75" customHeight="1">
      <c r="B873" s="36"/>
    </row>
    <row r="874" ht="15.75" customHeight="1">
      <c r="B874" s="36"/>
    </row>
    <row r="875" ht="15.75" customHeight="1">
      <c r="B875" s="36"/>
    </row>
    <row r="876" ht="15.75" customHeight="1">
      <c r="B876" s="36"/>
    </row>
    <row r="877" ht="15.75" customHeight="1">
      <c r="B877" s="36"/>
    </row>
    <row r="878" ht="15.75" customHeight="1">
      <c r="B878" s="36"/>
    </row>
    <row r="879" ht="15.75" customHeight="1">
      <c r="B879" s="36"/>
    </row>
    <row r="880" ht="15.75" customHeight="1">
      <c r="B880" s="36"/>
    </row>
    <row r="881" ht="15.75" customHeight="1">
      <c r="B881" s="36"/>
    </row>
    <row r="882" ht="15.75" customHeight="1">
      <c r="B882" s="36"/>
    </row>
    <row r="883" ht="15.75" customHeight="1">
      <c r="B883" s="36"/>
    </row>
    <row r="884" ht="15.75" customHeight="1">
      <c r="B884" s="36"/>
    </row>
    <row r="885" ht="15.75" customHeight="1">
      <c r="B885" s="36"/>
    </row>
    <row r="886" ht="15.75" customHeight="1">
      <c r="B886" s="36"/>
    </row>
    <row r="887" ht="15.75" customHeight="1">
      <c r="B887" s="36"/>
    </row>
    <row r="888" ht="15.75" customHeight="1">
      <c r="B888" s="36"/>
    </row>
    <row r="889" ht="15.75" customHeight="1">
      <c r="B889" s="36"/>
    </row>
    <row r="890" ht="15.75" customHeight="1">
      <c r="B890" s="36"/>
    </row>
    <row r="891" ht="15.75" customHeight="1">
      <c r="B891" s="36"/>
    </row>
    <row r="892" ht="15.75" customHeight="1">
      <c r="B892" s="36"/>
    </row>
    <row r="893" ht="15.75" customHeight="1">
      <c r="B893" s="36"/>
    </row>
    <row r="894" ht="15.75" customHeight="1">
      <c r="B894" s="36"/>
    </row>
    <row r="895" ht="15.75" customHeight="1">
      <c r="B895" s="36"/>
    </row>
    <row r="896" ht="15.75" customHeight="1">
      <c r="B896" s="36"/>
    </row>
    <row r="897" ht="15.75" customHeight="1">
      <c r="B897" s="36"/>
    </row>
    <row r="898" ht="15.75" customHeight="1">
      <c r="B898" s="36"/>
    </row>
    <row r="899" ht="15.75" customHeight="1">
      <c r="B899" s="36"/>
    </row>
    <row r="900" ht="15.75" customHeight="1">
      <c r="B900" s="36"/>
    </row>
    <row r="901" ht="15.75" customHeight="1">
      <c r="B901" s="36"/>
    </row>
    <row r="902" ht="15.75" customHeight="1">
      <c r="B902" s="36"/>
    </row>
    <row r="903" ht="15.75" customHeight="1">
      <c r="B903" s="36"/>
    </row>
    <row r="904" ht="15.75" customHeight="1">
      <c r="B904" s="36"/>
    </row>
    <row r="905" ht="15.75" customHeight="1">
      <c r="B905" s="36"/>
    </row>
    <row r="906" ht="15.75" customHeight="1">
      <c r="B906" s="36"/>
    </row>
    <row r="907" ht="15.75" customHeight="1">
      <c r="B907" s="36"/>
    </row>
    <row r="908" ht="15.75" customHeight="1">
      <c r="B908" s="36"/>
    </row>
    <row r="909" ht="15.75" customHeight="1">
      <c r="B909" s="36"/>
    </row>
    <row r="910" ht="15.75" customHeight="1">
      <c r="B910" s="36"/>
    </row>
    <row r="911" ht="15.75" customHeight="1">
      <c r="B911" s="36"/>
    </row>
    <row r="912" ht="15.75" customHeight="1">
      <c r="B912" s="36"/>
    </row>
    <row r="913" ht="15.75" customHeight="1">
      <c r="B913" s="36"/>
    </row>
    <row r="914" ht="15.75" customHeight="1">
      <c r="B914" s="36"/>
    </row>
    <row r="915" ht="15.75" customHeight="1">
      <c r="B915" s="36"/>
    </row>
    <row r="916" ht="15.75" customHeight="1">
      <c r="B916" s="36"/>
    </row>
    <row r="917" ht="15.75" customHeight="1">
      <c r="B917" s="36"/>
    </row>
    <row r="918" ht="15.75" customHeight="1">
      <c r="B918" s="36"/>
    </row>
    <row r="919" ht="15.75" customHeight="1">
      <c r="B919" s="36"/>
    </row>
    <row r="920" ht="15.75" customHeight="1">
      <c r="B920" s="36"/>
    </row>
    <row r="921" ht="15.75" customHeight="1">
      <c r="B921" s="36"/>
    </row>
    <row r="922" ht="15.75" customHeight="1">
      <c r="B922" s="36"/>
    </row>
    <row r="923" ht="15.75" customHeight="1">
      <c r="B923" s="36"/>
    </row>
    <row r="924" ht="15.75" customHeight="1">
      <c r="B924" s="36"/>
    </row>
    <row r="925" ht="15.75" customHeight="1">
      <c r="B925" s="36"/>
    </row>
    <row r="926" ht="15.75" customHeight="1">
      <c r="B926" s="36"/>
    </row>
    <row r="927" ht="15.75" customHeight="1">
      <c r="B927" s="36"/>
    </row>
    <row r="928" ht="15.75" customHeight="1">
      <c r="B928" s="36"/>
    </row>
    <row r="929" ht="15.75" customHeight="1">
      <c r="B929" s="36"/>
    </row>
    <row r="930" ht="15.75" customHeight="1">
      <c r="B930" s="36"/>
    </row>
    <row r="931" ht="15.75" customHeight="1">
      <c r="B931" s="36"/>
    </row>
    <row r="932" ht="15.75" customHeight="1">
      <c r="B932" s="36"/>
    </row>
    <row r="933" ht="15.75" customHeight="1">
      <c r="B933" s="36"/>
    </row>
    <row r="934" ht="15.75" customHeight="1">
      <c r="B934" s="36"/>
    </row>
    <row r="935" ht="15.75" customHeight="1">
      <c r="B935" s="36"/>
    </row>
    <row r="936" ht="15.75" customHeight="1">
      <c r="B936" s="36"/>
    </row>
    <row r="937" ht="15.75" customHeight="1">
      <c r="B937" s="36"/>
    </row>
    <row r="938" ht="15.75" customHeight="1">
      <c r="B938" s="36"/>
    </row>
    <row r="939" ht="15.75" customHeight="1">
      <c r="B939" s="36"/>
    </row>
    <row r="940" ht="15.75" customHeight="1">
      <c r="B940" s="36"/>
    </row>
    <row r="941" ht="15.75" customHeight="1">
      <c r="B941" s="36"/>
    </row>
    <row r="942" ht="15.75" customHeight="1">
      <c r="B942" s="36"/>
    </row>
    <row r="943" ht="15.75" customHeight="1">
      <c r="B943" s="36"/>
    </row>
    <row r="944" ht="15.75" customHeight="1">
      <c r="B944" s="36"/>
    </row>
    <row r="945" ht="15.75" customHeight="1">
      <c r="B945" s="36"/>
    </row>
    <row r="946" ht="15.75" customHeight="1">
      <c r="B946" s="36"/>
    </row>
    <row r="947" ht="15.75" customHeight="1">
      <c r="B947" s="36"/>
    </row>
    <row r="948" ht="15.75" customHeight="1">
      <c r="B948" s="36"/>
    </row>
    <row r="949" ht="15.75" customHeight="1">
      <c r="B949" s="36"/>
    </row>
    <row r="950" ht="15.75" customHeight="1">
      <c r="B950" s="36"/>
    </row>
    <row r="951" ht="15.75" customHeight="1">
      <c r="B951" s="36"/>
    </row>
    <row r="952" ht="15.75" customHeight="1">
      <c r="B952" s="36"/>
    </row>
    <row r="953" ht="15.75" customHeight="1">
      <c r="B953" s="36"/>
    </row>
    <row r="954" ht="15.75" customHeight="1">
      <c r="B954" s="36"/>
    </row>
    <row r="955" ht="15.75" customHeight="1">
      <c r="B955" s="36"/>
    </row>
    <row r="956" ht="15.75" customHeight="1">
      <c r="B956" s="36"/>
    </row>
    <row r="957" ht="15.75" customHeight="1">
      <c r="B957" s="36"/>
    </row>
    <row r="958" ht="15.75" customHeight="1">
      <c r="B958" s="36"/>
    </row>
    <row r="959" ht="15.75" customHeight="1">
      <c r="B959" s="36"/>
    </row>
    <row r="960" ht="15.75" customHeight="1">
      <c r="B960" s="36"/>
    </row>
    <row r="961" ht="15.75" customHeight="1">
      <c r="B961" s="36"/>
    </row>
    <row r="962" ht="15.75" customHeight="1">
      <c r="B962" s="36"/>
    </row>
    <row r="963" ht="15.75" customHeight="1">
      <c r="B963" s="36"/>
    </row>
    <row r="964" ht="15.75" customHeight="1">
      <c r="B964" s="36"/>
    </row>
    <row r="965" ht="15.75" customHeight="1">
      <c r="B965" s="36"/>
    </row>
    <row r="966" ht="15.75" customHeight="1">
      <c r="B966" s="36"/>
    </row>
    <row r="967" ht="15.75" customHeight="1">
      <c r="B967" s="36"/>
    </row>
    <row r="968" ht="15.75" customHeight="1">
      <c r="B968" s="36"/>
    </row>
    <row r="969" ht="15.75" customHeight="1">
      <c r="B969" s="36"/>
    </row>
    <row r="970" ht="15.75" customHeight="1">
      <c r="B970" s="36"/>
    </row>
    <row r="971" ht="15.75" customHeight="1">
      <c r="B971" s="36"/>
    </row>
    <row r="972" ht="15.75" customHeight="1">
      <c r="B972" s="36"/>
    </row>
    <row r="973" ht="15.75" customHeight="1">
      <c r="B973" s="36"/>
    </row>
    <row r="974" ht="15.75" customHeight="1">
      <c r="B974" s="36"/>
    </row>
    <row r="975" ht="15.75" customHeight="1">
      <c r="B975" s="36"/>
    </row>
    <row r="976" ht="15.75" customHeight="1">
      <c r="B976" s="36"/>
    </row>
    <row r="977" ht="15.75" customHeight="1">
      <c r="B977" s="36"/>
    </row>
    <row r="978" ht="15.75" customHeight="1">
      <c r="B978" s="36"/>
    </row>
    <row r="979" ht="15.75" customHeight="1">
      <c r="B979" s="36"/>
    </row>
    <row r="980" ht="15.75" customHeight="1">
      <c r="B980" s="36"/>
    </row>
    <row r="981" ht="15.75" customHeight="1">
      <c r="B981" s="36"/>
    </row>
    <row r="982" ht="15.75" customHeight="1">
      <c r="B982" s="36"/>
    </row>
    <row r="983" ht="15.75" customHeight="1">
      <c r="B983" s="36"/>
    </row>
    <row r="984" ht="15.75" customHeight="1">
      <c r="B984" s="36"/>
    </row>
    <row r="985" ht="15.75" customHeight="1">
      <c r="B985" s="36"/>
    </row>
    <row r="986" ht="15.75" customHeight="1">
      <c r="B986" s="36"/>
    </row>
    <row r="987" ht="15.75" customHeight="1">
      <c r="B987" s="36"/>
    </row>
    <row r="988" ht="15.75" customHeight="1">
      <c r="B988" s="36"/>
    </row>
    <row r="989" ht="15.75" customHeight="1">
      <c r="B989" s="36"/>
    </row>
    <row r="990" ht="15.75" customHeight="1">
      <c r="B990" s="36"/>
    </row>
    <row r="991" ht="15.75" customHeight="1">
      <c r="B991" s="36"/>
    </row>
    <row r="992" ht="15.75" customHeight="1">
      <c r="B992" s="36"/>
    </row>
    <row r="993" ht="15.75" customHeight="1">
      <c r="B993" s="36"/>
    </row>
    <row r="994" ht="15.75" customHeight="1">
      <c r="B994" s="36"/>
    </row>
    <row r="995" ht="15.75" customHeight="1">
      <c r="B995" s="36"/>
    </row>
    <row r="996" ht="15.75" customHeight="1">
      <c r="B996" s="36"/>
    </row>
    <row r="997" ht="15.75" customHeight="1">
      <c r="B997" s="36"/>
    </row>
    <row r="998" ht="15.75" customHeight="1">
      <c r="B998" s="36"/>
    </row>
    <row r="999" ht="15.75" customHeight="1">
      <c r="B999" s="36"/>
    </row>
    <row r="1000" ht="15.75" customHeight="1">
      <c r="B1000" s="36"/>
    </row>
  </sheetData>
  <mergeCells count="88">
    <mergeCell ref="B29:B30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115:B116"/>
    <mergeCell ref="B117:B118"/>
    <mergeCell ref="B59:B62"/>
    <mergeCell ref="B63:B100"/>
    <mergeCell ref="B102:B103"/>
    <mergeCell ref="B104:B107"/>
    <mergeCell ref="B108:B109"/>
    <mergeCell ref="B110:B111"/>
    <mergeCell ref="B112:B113"/>
    <mergeCell ref="A139:A140"/>
    <mergeCell ref="A141:A142"/>
    <mergeCell ref="A143:A144"/>
    <mergeCell ref="B141:B142"/>
    <mergeCell ref="B143:B144"/>
    <mergeCell ref="C151:C155"/>
    <mergeCell ref="C156:C159"/>
    <mergeCell ref="C161:C171"/>
    <mergeCell ref="C172:C182"/>
    <mergeCell ref="A125:A126"/>
    <mergeCell ref="B125:B126"/>
    <mergeCell ref="A127:A128"/>
    <mergeCell ref="B127:B128"/>
    <mergeCell ref="A129:A138"/>
    <mergeCell ref="B129:B138"/>
    <mergeCell ref="B139:B140"/>
    <mergeCell ref="A3:A4"/>
    <mergeCell ref="B3:B4"/>
    <mergeCell ref="A5:A6"/>
    <mergeCell ref="B5:B6"/>
    <mergeCell ref="A8:A9"/>
    <mergeCell ref="B8:B9"/>
    <mergeCell ref="B10:B11"/>
    <mergeCell ref="A10:A11"/>
    <mergeCell ref="A12:A13"/>
    <mergeCell ref="A14:A15"/>
    <mergeCell ref="A16:A17"/>
    <mergeCell ref="A18:A19"/>
    <mergeCell ref="A20:A21"/>
    <mergeCell ref="A22:A23"/>
    <mergeCell ref="B12:B13"/>
    <mergeCell ref="B14:B15"/>
    <mergeCell ref="B16:B17"/>
    <mergeCell ref="B18:B19"/>
    <mergeCell ref="B20:B21"/>
    <mergeCell ref="B22:B23"/>
    <mergeCell ref="B25:B28"/>
    <mergeCell ref="A25:A28"/>
    <mergeCell ref="A29:A30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9:A62"/>
    <mergeCell ref="A63:A100"/>
    <mergeCell ref="A102:A103"/>
    <mergeCell ref="A104:A107"/>
    <mergeCell ref="A108:A109"/>
    <mergeCell ref="A110:A111"/>
    <mergeCell ref="A112:A113"/>
    <mergeCell ref="A115:A116"/>
    <mergeCell ref="A117:A118"/>
    <mergeCell ref="A119:A122"/>
    <mergeCell ref="B119:B122"/>
    <mergeCell ref="A123:A124"/>
    <mergeCell ref="B123:B124"/>
  </mergeCells>
  <printOptions/>
  <pageMargins bottom="0.75" footer="0.0" header="0.0" left="0.7" right="0.7" top="0.75"/>
  <pageSetup paperSize="9" orientation="portrait"/>
  <rowBreaks count="2" manualBreakCount="2">
    <brk id="126" man="1"/>
    <brk id="6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53.71"/>
    <col customWidth="1" min="3" max="3" width="16.29"/>
    <col customWidth="1" min="4" max="4" width="10.14"/>
    <col customWidth="1" min="5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5.0"/>
    <col customWidth="1" min="3" max="3" width="53.71"/>
    <col customWidth="1" min="4" max="4" width="10.71"/>
    <col customWidth="1" min="5" max="5" width="40.29"/>
    <col customWidth="1" min="6" max="6" width="31.0"/>
    <col customWidth="1" min="7" max="7" width="15.71"/>
    <col customWidth="1" min="8" max="8" width="58.0"/>
    <col customWidth="1" min="9" max="9" width="23.43"/>
    <col customWidth="1" min="10" max="10" width="12.71"/>
    <col customWidth="1" min="11" max="11" width="6.43"/>
    <col customWidth="1" min="12" max="12" width="13.86"/>
    <col customWidth="1" min="13" max="26" width="8.71"/>
  </cols>
  <sheetData>
    <row r="1">
      <c r="A1" s="35" t="s">
        <v>233</v>
      </c>
      <c r="B1" s="35" t="s">
        <v>275</v>
      </c>
      <c r="C1" s="35" t="s">
        <v>234</v>
      </c>
      <c r="D1" s="35" t="s">
        <v>276</v>
      </c>
      <c r="E1" s="35" t="s">
        <v>277</v>
      </c>
      <c r="F1" s="35" t="s">
        <v>278</v>
      </c>
      <c r="G1" s="35" t="s">
        <v>279</v>
      </c>
      <c r="H1" s="35" t="s">
        <v>280</v>
      </c>
      <c r="I1" s="35" t="s">
        <v>232</v>
      </c>
      <c r="J1" s="35" t="s">
        <v>281</v>
      </c>
      <c r="K1" s="35" t="s">
        <v>282</v>
      </c>
      <c r="L1" s="35" t="s">
        <v>283</v>
      </c>
    </row>
    <row r="2">
      <c r="A2" s="35" t="s">
        <v>187</v>
      </c>
      <c r="C2" s="35" t="s">
        <v>237</v>
      </c>
      <c r="D2" s="40">
        <v>46073.0</v>
      </c>
      <c r="E2" s="35" t="s">
        <v>284</v>
      </c>
      <c r="F2" s="35">
        <v>675.0</v>
      </c>
      <c r="G2" s="35" t="s">
        <v>285</v>
      </c>
      <c r="H2" s="35" t="s">
        <v>286</v>
      </c>
      <c r="I2" s="35" t="s">
        <v>236</v>
      </c>
      <c r="J2" s="39">
        <v>2900.0</v>
      </c>
      <c r="K2" s="35">
        <v>0.0</v>
      </c>
      <c r="L2" s="39">
        <f t="shared" ref="L2:L171" si="1">J2-K2</f>
        <v>2900</v>
      </c>
    </row>
    <row r="3">
      <c r="A3" s="35" t="s">
        <v>93</v>
      </c>
      <c r="C3" s="35" t="s">
        <v>238</v>
      </c>
      <c r="D3" s="40">
        <v>46051.0</v>
      </c>
      <c r="E3" s="35" t="s">
        <v>284</v>
      </c>
      <c r="F3" s="35">
        <v>385.0</v>
      </c>
      <c r="G3" s="40">
        <v>46031.0</v>
      </c>
      <c r="H3" s="35" t="s">
        <v>287</v>
      </c>
      <c r="I3" s="35" t="s">
        <v>236</v>
      </c>
      <c r="J3" s="35">
        <v>150.0</v>
      </c>
      <c r="K3" s="35">
        <v>0.0</v>
      </c>
      <c r="L3" s="39">
        <f t="shared" si="1"/>
        <v>150</v>
      </c>
    </row>
    <row r="4">
      <c r="A4" s="35" t="s">
        <v>97</v>
      </c>
      <c r="C4" s="35" t="s">
        <v>239</v>
      </c>
      <c r="D4" s="40">
        <v>46051.0</v>
      </c>
      <c r="E4" s="35" t="s">
        <v>284</v>
      </c>
      <c r="F4" s="35">
        <v>386.0</v>
      </c>
      <c r="G4" s="35" t="s">
        <v>288</v>
      </c>
      <c r="H4" s="35" t="s">
        <v>289</v>
      </c>
      <c r="I4" s="35" t="s">
        <v>236</v>
      </c>
      <c r="J4" s="35">
        <v>475.0</v>
      </c>
      <c r="K4" s="35">
        <v>0.0</v>
      </c>
      <c r="L4" s="39">
        <f t="shared" si="1"/>
        <v>475</v>
      </c>
    </row>
    <row r="5">
      <c r="A5" s="35" t="s">
        <v>97</v>
      </c>
      <c r="C5" s="35" t="s">
        <v>239</v>
      </c>
      <c r="D5" s="40">
        <v>46051.0</v>
      </c>
      <c r="E5" s="35" t="s">
        <v>284</v>
      </c>
      <c r="F5" s="35">
        <v>387.0</v>
      </c>
      <c r="G5" s="35" t="s">
        <v>290</v>
      </c>
      <c r="H5" s="35" t="s">
        <v>291</v>
      </c>
      <c r="I5" s="35" t="s">
        <v>236</v>
      </c>
      <c r="J5" s="39">
        <v>1150.0</v>
      </c>
      <c r="K5" s="35">
        <v>0.0</v>
      </c>
      <c r="L5" s="39">
        <f t="shared" si="1"/>
        <v>1150</v>
      </c>
    </row>
    <row r="6">
      <c r="A6" s="35" t="s">
        <v>97</v>
      </c>
      <c r="C6" s="35" t="s">
        <v>239</v>
      </c>
      <c r="D6" s="40">
        <v>46086.0</v>
      </c>
      <c r="E6" s="35" t="s">
        <v>284</v>
      </c>
      <c r="F6" s="35">
        <v>723.0</v>
      </c>
      <c r="G6" s="35" t="s">
        <v>292</v>
      </c>
      <c r="H6" s="35" t="s">
        <v>293</v>
      </c>
      <c r="I6" s="35" t="s">
        <v>236</v>
      </c>
      <c r="J6" s="39">
        <v>1200.0</v>
      </c>
      <c r="K6" s="35">
        <v>0.0</v>
      </c>
      <c r="L6" s="39">
        <f t="shared" si="1"/>
        <v>1200</v>
      </c>
    </row>
    <row r="7">
      <c r="A7" s="35" t="s">
        <v>101</v>
      </c>
      <c r="C7" s="35" t="s">
        <v>240</v>
      </c>
      <c r="D7" s="40">
        <v>46066.0</v>
      </c>
      <c r="E7" s="35" t="s">
        <v>284</v>
      </c>
      <c r="F7" s="35">
        <v>473.0</v>
      </c>
      <c r="G7" s="35">
        <v>153.0</v>
      </c>
      <c r="H7" s="35" t="s">
        <v>294</v>
      </c>
      <c r="I7" s="35" t="s">
        <v>236</v>
      </c>
      <c r="J7" s="35">
        <v>545.0</v>
      </c>
      <c r="K7" s="35">
        <v>0.0</v>
      </c>
      <c r="L7" s="39">
        <f t="shared" si="1"/>
        <v>545</v>
      </c>
    </row>
    <row r="8">
      <c r="A8" s="35" t="s">
        <v>101</v>
      </c>
      <c r="C8" s="35" t="s">
        <v>240</v>
      </c>
      <c r="D8" s="40">
        <v>46071.0</v>
      </c>
      <c r="E8" s="35" t="s">
        <v>284</v>
      </c>
      <c r="F8" s="35">
        <v>671.0</v>
      </c>
      <c r="G8" s="35">
        <v>90.0</v>
      </c>
      <c r="H8" s="35" t="s">
        <v>295</v>
      </c>
      <c r="I8" s="35" t="s">
        <v>236</v>
      </c>
      <c r="J8" s="35">
        <v>320.0</v>
      </c>
      <c r="K8" s="35">
        <v>0.0</v>
      </c>
      <c r="L8" s="39">
        <f t="shared" si="1"/>
        <v>320</v>
      </c>
    </row>
    <row r="9">
      <c r="A9" s="35" t="s">
        <v>101</v>
      </c>
      <c r="C9" s="35" t="s">
        <v>240</v>
      </c>
      <c r="D9" s="40">
        <v>46073.0</v>
      </c>
      <c r="E9" s="35" t="s">
        <v>284</v>
      </c>
      <c r="F9" s="35">
        <v>677.0</v>
      </c>
      <c r="G9" s="35">
        <v>1695.0</v>
      </c>
      <c r="H9" s="35" t="s">
        <v>296</v>
      </c>
      <c r="I9" s="35" t="s">
        <v>236</v>
      </c>
      <c r="J9" s="35">
        <v>800.0</v>
      </c>
      <c r="K9" s="35">
        <v>0.0</v>
      </c>
      <c r="L9" s="39">
        <f t="shared" si="1"/>
        <v>800</v>
      </c>
    </row>
    <row r="10">
      <c r="A10" s="35" t="s">
        <v>101</v>
      </c>
      <c r="C10" s="35" t="s">
        <v>240</v>
      </c>
      <c r="D10" s="40">
        <v>46104.0</v>
      </c>
      <c r="E10" s="35" t="s">
        <v>284</v>
      </c>
      <c r="F10" s="35">
        <v>973.0</v>
      </c>
      <c r="G10" s="35">
        <v>501.0</v>
      </c>
      <c r="H10" s="35" t="s">
        <v>297</v>
      </c>
      <c r="I10" s="35" t="s">
        <v>236</v>
      </c>
      <c r="J10" s="39">
        <v>1450.0</v>
      </c>
      <c r="K10" s="35">
        <v>0.0</v>
      </c>
      <c r="L10" s="39">
        <f t="shared" si="1"/>
        <v>1450</v>
      </c>
    </row>
    <row r="11">
      <c r="A11" s="35" t="s">
        <v>101</v>
      </c>
      <c r="C11" s="35" t="s">
        <v>240</v>
      </c>
      <c r="D11" s="40">
        <v>46104.0</v>
      </c>
      <c r="E11" s="35" t="s">
        <v>284</v>
      </c>
      <c r="F11" s="35">
        <v>974.0</v>
      </c>
      <c r="G11" s="35">
        <v>504.0</v>
      </c>
      <c r="H11" s="35" t="s">
        <v>298</v>
      </c>
      <c r="I11" s="35" t="s">
        <v>236</v>
      </c>
      <c r="J11" s="35">
        <v>50.0</v>
      </c>
      <c r="K11" s="35">
        <v>0.0</v>
      </c>
      <c r="L11" s="39">
        <f t="shared" si="1"/>
        <v>50</v>
      </c>
    </row>
    <row r="12">
      <c r="A12" s="35" t="s">
        <v>241</v>
      </c>
      <c r="C12" s="35" t="s">
        <v>242</v>
      </c>
      <c r="D12" s="40">
        <v>46077.0</v>
      </c>
      <c r="E12" s="35" t="s">
        <v>284</v>
      </c>
      <c r="F12" s="35">
        <v>689.0</v>
      </c>
      <c r="G12" s="35" t="s">
        <v>299</v>
      </c>
      <c r="H12" s="35" t="s">
        <v>300</v>
      </c>
      <c r="I12" s="35" t="s">
        <v>236</v>
      </c>
      <c r="J12" s="39">
        <v>1704.68</v>
      </c>
      <c r="K12" s="35">
        <v>0.0</v>
      </c>
      <c r="L12" s="39">
        <f t="shared" si="1"/>
        <v>1704.68</v>
      </c>
    </row>
    <row r="13">
      <c r="A13" s="35" t="s">
        <v>241</v>
      </c>
      <c r="C13" s="35" t="s">
        <v>242</v>
      </c>
      <c r="D13" s="40">
        <v>46090.0</v>
      </c>
      <c r="E13" s="35" t="s">
        <v>284</v>
      </c>
      <c r="F13" s="35">
        <v>731.0</v>
      </c>
      <c r="G13" s="35" t="s">
        <v>301</v>
      </c>
      <c r="H13" s="35" t="s">
        <v>302</v>
      </c>
      <c r="I13" s="35" t="s">
        <v>236</v>
      </c>
      <c r="J13" s="35">
        <v>78.75</v>
      </c>
      <c r="K13" s="35">
        <v>0.0</v>
      </c>
      <c r="L13" s="39">
        <f t="shared" si="1"/>
        <v>78.75</v>
      </c>
    </row>
    <row r="14">
      <c r="A14" s="35" t="s">
        <v>51</v>
      </c>
      <c r="C14" s="35" t="s">
        <v>243</v>
      </c>
      <c r="D14" s="40">
        <v>46051.0</v>
      </c>
      <c r="E14" s="35" t="s">
        <v>284</v>
      </c>
      <c r="F14" s="35">
        <v>388.0</v>
      </c>
      <c r="G14" s="35">
        <v>260027.0</v>
      </c>
      <c r="H14" s="35" t="s">
        <v>303</v>
      </c>
      <c r="I14" s="35" t="s">
        <v>236</v>
      </c>
      <c r="J14" s="39">
        <v>4356.75</v>
      </c>
      <c r="K14" s="35">
        <v>0.0</v>
      </c>
      <c r="L14" s="39">
        <f t="shared" si="1"/>
        <v>4356.75</v>
      </c>
    </row>
    <row r="15">
      <c r="A15" s="35" t="s">
        <v>109</v>
      </c>
      <c r="C15" s="35" t="s">
        <v>244</v>
      </c>
      <c r="D15" s="40">
        <v>46049.0</v>
      </c>
      <c r="E15" s="35" t="s">
        <v>284</v>
      </c>
      <c r="F15" s="35">
        <v>360.0</v>
      </c>
      <c r="G15" s="35">
        <v>260030.0</v>
      </c>
      <c r="H15" s="35" t="s">
        <v>304</v>
      </c>
      <c r="I15" s="35" t="s">
        <v>236</v>
      </c>
      <c r="J15" s="35">
        <v>499.5</v>
      </c>
      <c r="K15" s="35">
        <v>0.0</v>
      </c>
      <c r="L15" s="39">
        <f t="shared" si="1"/>
        <v>499.5</v>
      </c>
    </row>
    <row r="16">
      <c r="A16" s="35" t="s">
        <v>109</v>
      </c>
      <c r="C16" s="35" t="s">
        <v>244</v>
      </c>
      <c r="D16" s="40">
        <v>46051.0</v>
      </c>
      <c r="E16" s="35" t="s">
        <v>284</v>
      </c>
      <c r="F16" s="35">
        <v>384.0</v>
      </c>
      <c r="G16" s="35">
        <v>260003.0</v>
      </c>
      <c r="H16" s="35" t="s">
        <v>305</v>
      </c>
      <c r="I16" s="35" t="s">
        <v>236</v>
      </c>
      <c r="J16" s="35">
        <v>466.2</v>
      </c>
      <c r="K16" s="35">
        <v>0.0</v>
      </c>
      <c r="L16" s="39">
        <f t="shared" si="1"/>
        <v>466.2</v>
      </c>
    </row>
    <row r="17">
      <c r="A17" s="35" t="s">
        <v>109</v>
      </c>
      <c r="C17" s="35" t="s">
        <v>244</v>
      </c>
      <c r="D17" s="40">
        <v>46086.0</v>
      </c>
      <c r="E17" s="35" t="s">
        <v>284</v>
      </c>
      <c r="F17" s="35">
        <v>724.0</v>
      </c>
      <c r="G17" s="35">
        <v>260072.0</v>
      </c>
      <c r="H17" s="35" t="s">
        <v>306</v>
      </c>
      <c r="I17" s="35" t="s">
        <v>236</v>
      </c>
      <c r="J17" s="35">
        <v>66.6</v>
      </c>
      <c r="K17" s="35">
        <v>0.0</v>
      </c>
      <c r="L17" s="39">
        <f t="shared" si="1"/>
        <v>66.6</v>
      </c>
    </row>
    <row r="18">
      <c r="A18" s="35" t="s">
        <v>109</v>
      </c>
      <c r="C18" s="35" t="s">
        <v>244</v>
      </c>
      <c r="D18" s="40">
        <v>46086.0</v>
      </c>
      <c r="E18" s="35" t="s">
        <v>284</v>
      </c>
      <c r="F18" s="35">
        <v>725.0</v>
      </c>
      <c r="G18" s="35">
        <v>260058.0</v>
      </c>
      <c r="H18" s="35" t="s">
        <v>307</v>
      </c>
      <c r="I18" s="35" t="s">
        <v>236</v>
      </c>
      <c r="J18" s="35">
        <v>99.9</v>
      </c>
      <c r="K18" s="35">
        <v>0.0</v>
      </c>
      <c r="L18" s="39">
        <f t="shared" si="1"/>
        <v>99.9</v>
      </c>
    </row>
    <row r="19">
      <c r="A19" s="35" t="s">
        <v>109</v>
      </c>
      <c r="C19" s="35" t="s">
        <v>244</v>
      </c>
      <c r="D19" s="40">
        <v>46091.0</v>
      </c>
      <c r="E19" s="35" t="s">
        <v>284</v>
      </c>
      <c r="F19" s="35">
        <v>733.0</v>
      </c>
      <c r="G19" s="35">
        <v>260071.0</v>
      </c>
      <c r="H19" s="35" t="s">
        <v>308</v>
      </c>
      <c r="I19" s="35" t="s">
        <v>236</v>
      </c>
      <c r="J19" s="35">
        <v>499.5</v>
      </c>
      <c r="K19" s="35">
        <v>0.0</v>
      </c>
      <c r="L19" s="39">
        <f t="shared" si="1"/>
        <v>499.5</v>
      </c>
    </row>
    <row r="20">
      <c r="A20" s="35" t="s">
        <v>111</v>
      </c>
      <c r="C20" s="35" t="s">
        <v>245</v>
      </c>
      <c r="D20" s="40">
        <v>46071.0</v>
      </c>
      <c r="E20" s="35" t="s">
        <v>284</v>
      </c>
      <c r="F20" s="35">
        <v>666.0</v>
      </c>
      <c r="G20" s="35" t="s">
        <v>309</v>
      </c>
      <c r="H20" s="35" t="s">
        <v>310</v>
      </c>
      <c r="I20" s="35" t="s">
        <v>235</v>
      </c>
      <c r="J20" s="39">
        <v>4803000.0</v>
      </c>
      <c r="K20" s="35">
        <v>0.0</v>
      </c>
      <c r="L20" s="39">
        <f t="shared" si="1"/>
        <v>4803000</v>
      </c>
    </row>
    <row r="21" ht="15.75" customHeight="1">
      <c r="A21" s="35" t="s">
        <v>111</v>
      </c>
      <c r="C21" s="35" t="s">
        <v>245</v>
      </c>
      <c r="D21" s="40">
        <v>46041.0</v>
      </c>
      <c r="E21" s="35" t="s">
        <v>284</v>
      </c>
      <c r="F21" s="35">
        <v>322.0</v>
      </c>
      <c r="G21" s="35">
        <v>231.0</v>
      </c>
      <c r="H21" s="35" t="s">
        <v>311</v>
      </c>
      <c r="I21" s="35" t="s">
        <v>236</v>
      </c>
      <c r="J21" s="35">
        <v>30.0</v>
      </c>
      <c r="K21" s="35">
        <v>0.0</v>
      </c>
      <c r="L21" s="39">
        <f t="shared" si="1"/>
        <v>30</v>
      </c>
    </row>
    <row r="22" ht="15.75" customHeight="1">
      <c r="A22" s="35" t="s">
        <v>111</v>
      </c>
      <c r="C22" s="35" t="s">
        <v>245</v>
      </c>
      <c r="D22" s="40">
        <v>46041.0</v>
      </c>
      <c r="E22" s="35" t="s">
        <v>284</v>
      </c>
      <c r="F22" s="35">
        <v>323.0</v>
      </c>
      <c r="G22" s="35" t="s">
        <v>312</v>
      </c>
      <c r="H22" s="35" t="s">
        <v>313</v>
      </c>
      <c r="I22" s="35" t="s">
        <v>236</v>
      </c>
      <c r="J22" s="35">
        <v>39.64</v>
      </c>
      <c r="K22" s="35">
        <v>0.0</v>
      </c>
      <c r="L22" s="39">
        <f t="shared" si="1"/>
        <v>39.64</v>
      </c>
    </row>
    <row r="23" ht="15.75" customHeight="1">
      <c r="A23" s="35" t="s">
        <v>111</v>
      </c>
      <c r="C23" s="35" t="s">
        <v>245</v>
      </c>
      <c r="D23" s="40">
        <v>46041.0</v>
      </c>
      <c r="E23" s="35" t="s">
        <v>284</v>
      </c>
      <c r="F23" s="35">
        <v>324.0</v>
      </c>
      <c r="G23" s="40">
        <v>46034.0</v>
      </c>
      <c r="H23" s="35" t="s">
        <v>314</v>
      </c>
      <c r="I23" s="35" t="s">
        <v>236</v>
      </c>
      <c r="J23" s="35">
        <v>60.0</v>
      </c>
      <c r="K23" s="35">
        <v>0.0</v>
      </c>
      <c r="L23" s="39">
        <f t="shared" si="1"/>
        <v>60</v>
      </c>
    </row>
    <row r="24" ht="15.75" customHeight="1">
      <c r="A24" s="35" t="s">
        <v>111</v>
      </c>
      <c r="C24" s="35" t="s">
        <v>245</v>
      </c>
      <c r="D24" s="40">
        <v>46041.0</v>
      </c>
      <c r="E24" s="35" t="s">
        <v>284</v>
      </c>
      <c r="F24" s="35">
        <v>325.0</v>
      </c>
      <c r="G24" s="35">
        <v>1240.0</v>
      </c>
      <c r="H24" s="35" t="s">
        <v>315</v>
      </c>
      <c r="I24" s="35" t="s">
        <v>236</v>
      </c>
      <c r="J24" s="35">
        <v>30.0</v>
      </c>
      <c r="K24" s="35">
        <v>0.0</v>
      </c>
      <c r="L24" s="39">
        <f t="shared" si="1"/>
        <v>30</v>
      </c>
    </row>
    <row r="25" ht="15.75" customHeight="1">
      <c r="A25" s="35" t="s">
        <v>111</v>
      </c>
      <c r="C25" s="35" t="s">
        <v>245</v>
      </c>
      <c r="D25" s="40">
        <v>46041.0</v>
      </c>
      <c r="E25" s="35" t="s">
        <v>284</v>
      </c>
      <c r="F25" s="35">
        <v>326.0</v>
      </c>
      <c r="G25" s="35">
        <v>1223.0</v>
      </c>
      <c r="H25" s="35" t="s">
        <v>316</v>
      </c>
      <c r="I25" s="35" t="s">
        <v>236</v>
      </c>
      <c r="J25" s="35">
        <v>27.0</v>
      </c>
      <c r="K25" s="35">
        <v>0.0</v>
      </c>
      <c r="L25" s="39">
        <f t="shared" si="1"/>
        <v>27</v>
      </c>
    </row>
    <row r="26" ht="15.75" customHeight="1">
      <c r="A26" s="35" t="s">
        <v>111</v>
      </c>
      <c r="C26" s="35" t="s">
        <v>245</v>
      </c>
      <c r="D26" s="40">
        <v>46049.0</v>
      </c>
      <c r="E26" s="35" t="s">
        <v>284</v>
      </c>
      <c r="F26" s="35">
        <v>366.0</v>
      </c>
      <c r="G26" s="35">
        <v>945.0</v>
      </c>
      <c r="H26" s="35" t="s">
        <v>317</v>
      </c>
      <c r="I26" s="35" t="s">
        <v>236</v>
      </c>
      <c r="J26" s="35">
        <v>184.0</v>
      </c>
      <c r="K26" s="35">
        <v>0.0</v>
      </c>
      <c r="L26" s="39">
        <f t="shared" si="1"/>
        <v>184</v>
      </c>
    </row>
    <row r="27" ht="15.75" customHeight="1">
      <c r="A27" s="35" t="s">
        <v>111</v>
      </c>
      <c r="C27" s="35" t="s">
        <v>245</v>
      </c>
      <c r="D27" s="40">
        <v>46055.0</v>
      </c>
      <c r="E27" s="35" t="s">
        <v>284</v>
      </c>
      <c r="F27" s="35">
        <v>410.0</v>
      </c>
      <c r="G27" s="40">
        <v>46050.0</v>
      </c>
      <c r="H27" s="35" t="s">
        <v>318</v>
      </c>
      <c r="I27" s="35" t="s">
        <v>236</v>
      </c>
      <c r="J27" s="35">
        <v>14.0</v>
      </c>
      <c r="K27" s="35">
        <v>0.0</v>
      </c>
      <c r="L27" s="39">
        <f t="shared" si="1"/>
        <v>14</v>
      </c>
    </row>
    <row r="28" ht="15.75" customHeight="1">
      <c r="A28" s="35" t="s">
        <v>111</v>
      </c>
      <c r="C28" s="35" t="s">
        <v>245</v>
      </c>
      <c r="D28" s="40">
        <v>46055.0</v>
      </c>
      <c r="E28" s="35" t="s">
        <v>284</v>
      </c>
      <c r="F28" s="35">
        <v>406.0</v>
      </c>
      <c r="G28" s="40">
        <v>46049.0</v>
      </c>
      <c r="H28" s="35" t="s">
        <v>319</v>
      </c>
      <c r="I28" s="35" t="s">
        <v>236</v>
      </c>
      <c r="J28" s="35">
        <v>30.0</v>
      </c>
      <c r="K28" s="35">
        <v>0.0</v>
      </c>
      <c r="L28" s="39">
        <f t="shared" si="1"/>
        <v>30</v>
      </c>
    </row>
    <row r="29" ht="15.75" customHeight="1">
      <c r="A29" s="35" t="s">
        <v>111</v>
      </c>
      <c r="C29" s="35" t="s">
        <v>245</v>
      </c>
      <c r="D29" s="40">
        <v>46055.0</v>
      </c>
      <c r="E29" s="35" t="s">
        <v>284</v>
      </c>
      <c r="F29" s="35">
        <v>407.0</v>
      </c>
      <c r="G29" s="35">
        <v>245.0</v>
      </c>
      <c r="H29" s="35" t="s">
        <v>320</v>
      </c>
      <c r="I29" s="35" t="s">
        <v>236</v>
      </c>
      <c r="J29" s="35">
        <v>30.0</v>
      </c>
      <c r="K29" s="35">
        <v>0.0</v>
      </c>
      <c r="L29" s="39">
        <f t="shared" si="1"/>
        <v>30</v>
      </c>
    </row>
    <row r="30" ht="15.75" customHeight="1">
      <c r="A30" s="35" t="s">
        <v>111</v>
      </c>
      <c r="C30" s="35" t="s">
        <v>245</v>
      </c>
      <c r="D30" s="40">
        <v>46055.0</v>
      </c>
      <c r="E30" s="35" t="s">
        <v>284</v>
      </c>
      <c r="F30" s="35">
        <v>409.0</v>
      </c>
      <c r="G30" s="35">
        <v>947.0</v>
      </c>
      <c r="H30" s="35" t="s">
        <v>321</v>
      </c>
      <c r="I30" s="35" t="s">
        <v>236</v>
      </c>
      <c r="J30" s="35">
        <v>54.0</v>
      </c>
      <c r="K30" s="35">
        <v>0.0</v>
      </c>
      <c r="L30" s="39">
        <f t="shared" si="1"/>
        <v>54</v>
      </c>
    </row>
    <row r="31" ht="15.75" customHeight="1">
      <c r="A31" s="35" t="s">
        <v>111</v>
      </c>
      <c r="C31" s="35" t="s">
        <v>245</v>
      </c>
      <c r="D31" s="40">
        <v>46055.0</v>
      </c>
      <c r="E31" s="35" t="s">
        <v>284</v>
      </c>
      <c r="F31" s="35">
        <v>411.0</v>
      </c>
      <c r="G31" s="35">
        <v>1246.0</v>
      </c>
      <c r="H31" s="35" t="s">
        <v>322</v>
      </c>
      <c r="I31" s="35" t="s">
        <v>236</v>
      </c>
      <c r="J31" s="35">
        <v>7.0</v>
      </c>
      <c r="K31" s="35">
        <v>0.0</v>
      </c>
      <c r="L31" s="39">
        <f t="shared" si="1"/>
        <v>7</v>
      </c>
    </row>
    <row r="32" ht="15.75" customHeight="1">
      <c r="A32" s="35" t="s">
        <v>111</v>
      </c>
      <c r="C32" s="35" t="s">
        <v>245</v>
      </c>
      <c r="D32" s="40">
        <v>46055.0</v>
      </c>
      <c r="E32" s="35" t="s">
        <v>284</v>
      </c>
      <c r="F32" s="35">
        <v>414.0</v>
      </c>
      <c r="G32" s="35" t="s">
        <v>323</v>
      </c>
      <c r="H32" s="35" t="s">
        <v>324</v>
      </c>
      <c r="I32" s="35" t="s">
        <v>236</v>
      </c>
      <c r="J32" s="35">
        <v>39.64</v>
      </c>
      <c r="K32" s="35">
        <v>0.0</v>
      </c>
      <c r="L32" s="39">
        <f t="shared" si="1"/>
        <v>39.64</v>
      </c>
    </row>
    <row r="33" ht="15.75" customHeight="1">
      <c r="A33" s="35" t="s">
        <v>111</v>
      </c>
      <c r="C33" s="35" t="s">
        <v>245</v>
      </c>
      <c r="D33" s="40">
        <v>46055.0</v>
      </c>
      <c r="E33" s="35" t="s">
        <v>284</v>
      </c>
      <c r="F33" s="35">
        <v>415.0</v>
      </c>
      <c r="G33" s="35" t="s">
        <v>325</v>
      </c>
      <c r="H33" s="35" t="s">
        <v>326</v>
      </c>
      <c r="I33" s="35" t="s">
        <v>236</v>
      </c>
      <c r="J33" s="35">
        <v>50.45</v>
      </c>
      <c r="K33" s="35">
        <v>0.0</v>
      </c>
      <c r="L33" s="39">
        <f t="shared" si="1"/>
        <v>50.45</v>
      </c>
    </row>
    <row r="34" ht="15.75" customHeight="1">
      <c r="A34" s="35" t="s">
        <v>111</v>
      </c>
      <c r="C34" s="35" t="s">
        <v>245</v>
      </c>
      <c r="D34" s="40">
        <v>46055.0</v>
      </c>
      <c r="E34" s="35" t="s">
        <v>284</v>
      </c>
      <c r="F34" s="35">
        <v>416.0</v>
      </c>
      <c r="G34" s="35">
        <v>2560.0</v>
      </c>
      <c r="H34" s="35" t="s">
        <v>327</v>
      </c>
      <c r="I34" s="35" t="s">
        <v>236</v>
      </c>
      <c r="J34" s="35">
        <v>113.0</v>
      </c>
      <c r="K34" s="35">
        <v>0.0</v>
      </c>
      <c r="L34" s="39">
        <f t="shared" si="1"/>
        <v>113</v>
      </c>
    </row>
    <row r="35" ht="15.75" customHeight="1">
      <c r="A35" s="35" t="s">
        <v>111</v>
      </c>
      <c r="C35" s="35" t="s">
        <v>245</v>
      </c>
      <c r="D35" s="40">
        <v>46055.0</v>
      </c>
      <c r="E35" s="35" t="s">
        <v>284</v>
      </c>
      <c r="F35" s="35">
        <v>418.0</v>
      </c>
      <c r="G35" s="35">
        <v>4.0</v>
      </c>
      <c r="H35" s="35" t="s">
        <v>328</v>
      </c>
      <c r="I35" s="35" t="s">
        <v>236</v>
      </c>
      <c r="J35" s="35">
        <v>120.0</v>
      </c>
      <c r="K35" s="35">
        <v>0.0</v>
      </c>
      <c r="L35" s="39">
        <f t="shared" si="1"/>
        <v>120</v>
      </c>
    </row>
    <row r="36" ht="15.75" customHeight="1">
      <c r="A36" s="35" t="s">
        <v>111</v>
      </c>
      <c r="C36" s="35" t="s">
        <v>245</v>
      </c>
      <c r="D36" s="40">
        <v>46055.0</v>
      </c>
      <c r="E36" s="35" t="s">
        <v>284</v>
      </c>
      <c r="F36" s="35">
        <v>419.0</v>
      </c>
      <c r="G36" s="35">
        <v>8356.0</v>
      </c>
      <c r="H36" s="35" t="s">
        <v>329</v>
      </c>
      <c r="I36" s="35" t="s">
        <v>236</v>
      </c>
      <c r="J36" s="35">
        <v>100.0</v>
      </c>
      <c r="K36" s="35">
        <v>0.0</v>
      </c>
      <c r="L36" s="39">
        <f t="shared" si="1"/>
        <v>100</v>
      </c>
    </row>
    <row r="37" ht="15.75" customHeight="1">
      <c r="A37" s="35" t="s">
        <v>111</v>
      </c>
      <c r="C37" s="35" t="s">
        <v>245</v>
      </c>
      <c r="D37" s="40">
        <v>46055.0</v>
      </c>
      <c r="E37" s="35" t="s">
        <v>284</v>
      </c>
      <c r="F37" s="35">
        <v>420.0</v>
      </c>
      <c r="G37" s="35" t="s">
        <v>330</v>
      </c>
      <c r="H37" s="35" t="s">
        <v>331</v>
      </c>
      <c r="I37" s="35" t="s">
        <v>236</v>
      </c>
      <c r="J37" s="35">
        <v>40.0</v>
      </c>
      <c r="K37" s="35">
        <v>0.0</v>
      </c>
      <c r="L37" s="39">
        <f t="shared" si="1"/>
        <v>40</v>
      </c>
    </row>
    <row r="38" ht="15.75" customHeight="1">
      <c r="A38" s="35" t="s">
        <v>111</v>
      </c>
      <c r="C38" s="35" t="s">
        <v>245</v>
      </c>
      <c r="D38" s="40">
        <v>46055.0</v>
      </c>
      <c r="E38" s="35" t="s">
        <v>284</v>
      </c>
      <c r="F38" s="35">
        <v>412.0</v>
      </c>
      <c r="G38" s="40">
        <v>46042.0</v>
      </c>
      <c r="H38" s="35" t="s">
        <v>332</v>
      </c>
      <c r="I38" s="35" t="s">
        <v>236</v>
      </c>
      <c r="J38" s="35">
        <v>13.0</v>
      </c>
      <c r="K38" s="35">
        <v>0.0</v>
      </c>
      <c r="L38" s="39">
        <f t="shared" si="1"/>
        <v>13</v>
      </c>
    </row>
    <row r="39" ht="15.75" customHeight="1">
      <c r="A39" s="35" t="s">
        <v>111</v>
      </c>
      <c r="C39" s="35" t="s">
        <v>245</v>
      </c>
      <c r="D39" s="40">
        <v>46055.0</v>
      </c>
      <c r="E39" s="35" t="s">
        <v>284</v>
      </c>
      <c r="F39" s="35">
        <v>413.0</v>
      </c>
      <c r="G39" s="40">
        <v>46037.0</v>
      </c>
      <c r="H39" s="35" t="s">
        <v>333</v>
      </c>
      <c r="I39" s="35" t="s">
        <v>236</v>
      </c>
      <c r="J39" s="35">
        <v>5.0</v>
      </c>
      <c r="K39" s="35">
        <v>0.0</v>
      </c>
      <c r="L39" s="39">
        <f t="shared" si="1"/>
        <v>5</v>
      </c>
    </row>
    <row r="40" ht="15.75" customHeight="1">
      <c r="A40" s="35" t="s">
        <v>111</v>
      </c>
      <c r="C40" s="35" t="s">
        <v>245</v>
      </c>
      <c r="D40" s="40">
        <v>46056.0</v>
      </c>
      <c r="E40" s="35" t="s">
        <v>284</v>
      </c>
      <c r="F40" s="35">
        <v>427.0</v>
      </c>
      <c r="G40" s="35">
        <v>855.0</v>
      </c>
      <c r="H40" s="35" t="s">
        <v>334</v>
      </c>
      <c r="I40" s="35" t="s">
        <v>236</v>
      </c>
      <c r="J40" s="35">
        <v>24.0</v>
      </c>
      <c r="K40" s="35">
        <v>0.0</v>
      </c>
      <c r="L40" s="39">
        <f t="shared" si="1"/>
        <v>24</v>
      </c>
    </row>
    <row r="41" ht="15.75" customHeight="1">
      <c r="A41" s="35" t="s">
        <v>111</v>
      </c>
      <c r="C41" s="35" t="s">
        <v>245</v>
      </c>
      <c r="D41" s="40">
        <v>46056.0</v>
      </c>
      <c r="E41" s="35" t="s">
        <v>284</v>
      </c>
      <c r="F41" s="35">
        <v>428.0</v>
      </c>
      <c r="G41" s="35">
        <v>874.0</v>
      </c>
      <c r="H41" s="35" t="s">
        <v>335</v>
      </c>
      <c r="I41" s="35" t="s">
        <v>236</v>
      </c>
      <c r="J41" s="35">
        <v>41.75</v>
      </c>
      <c r="K41" s="35">
        <v>0.0</v>
      </c>
      <c r="L41" s="39">
        <f t="shared" si="1"/>
        <v>41.75</v>
      </c>
    </row>
    <row r="42" ht="15.75" customHeight="1">
      <c r="A42" s="35" t="s">
        <v>111</v>
      </c>
      <c r="C42" s="35" t="s">
        <v>245</v>
      </c>
      <c r="D42" s="40">
        <v>46056.0</v>
      </c>
      <c r="E42" s="35" t="s">
        <v>284</v>
      </c>
      <c r="F42" s="35">
        <v>429.0</v>
      </c>
      <c r="G42" s="35">
        <v>875.0</v>
      </c>
      <c r="H42" s="35" t="s">
        <v>336</v>
      </c>
      <c r="I42" s="35" t="s">
        <v>236</v>
      </c>
      <c r="J42" s="35">
        <v>179.5</v>
      </c>
      <c r="K42" s="35">
        <v>0.0</v>
      </c>
      <c r="L42" s="39">
        <f t="shared" si="1"/>
        <v>179.5</v>
      </c>
    </row>
    <row r="43" ht="15.75" customHeight="1">
      <c r="A43" s="35" t="s">
        <v>111</v>
      </c>
      <c r="C43" s="35" t="s">
        <v>245</v>
      </c>
      <c r="D43" s="40">
        <v>46056.0</v>
      </c>
      <c r="E43" s="35" t="s">
        <v>284</v>
      </c>
      <c r="F43" s="35">
        <v>430.0</v>
      </c>
      <c r="G43" s="35">
        <v>869.0</v>
      </c>
      <c r="H43" s="35" t="s">
        <v>337</v>
      </c>
      <c r="I43" s="35" t="s">
        <v>236</v>
      </c>
      <c r="J43" s="35">
        <v>225.0</v>
      </c>
      <c r="K43" s="35">
        <v>0.0</v>
      </c>
      <c r="L43" s="39">
        <f t="shared" si="1"/>
        <v>225</v>
      </c>
    </row>
    <row r="44" ht="15.75" customHeight="1">
      <c r="A44" s="35" t="s">
        <v>111</v>
      </c>
      <c r="C44" s="35" t="s">
        <v>245</v>
      </c>
      <c r="D44" s="40">
        <v>46056.0</v>
      </c>
      <c r="E44" s="35" t="s">
        <v>284</v>
      </c>
      <c r="F44" s="35">
        <v>431.0</v>
      </c>
      <c r="G44" s="35">
        <v>889.0</v>
      </c>
      <c r="H44" s="35" t="s">
        <v>338</v>
      </c>
      <c r="I44" s="35" t="s">
        <v>236</v>
      </c>
      <c r="J44" s="35">
        <v>128.0</v>
      </c>
      <c r="K44" s="35">
        <v>0.0</v>
      </c>
      <c r="L44" s="39">
        <f t="shared" si="1"/>
        <v>128</v>
      </c>
    </row>
    <row r="45" ht="15.75" customHeight="1">
      <c r="A45" s="35" t="s">
        <v>111</v>
      </c>
      <c r="C45" s="35" t="s">
        <v>245</v>
      </c>
      <c r="D45" s="40">
        <v>46066.0</v>
      </c>
      <c r="E45" s="35" t="s">
        <v>284</v>
      </c>
      <c r="F45" s="35">
        <v>471.0</v>
      </c>
      <c r="G45" s="35">
        <v>84.0</v>
      </c>
      <c r="H45" s="35" t="s">
        <v>339</v>
      </c>
      <c r="I45" s="35" t="s">
        <v>236</v>
      </c>
      <c r="J45" s="35">
        <v>320.0</v>
      </c>
      <c r="K45" s="35">
        <v>0.0</v>
      </c>
      <c r="L45" s="39">
        <f t="shared" si="1"/>
        <v>320</v>
      </c>
    </row>
    <row r="46" ht="15.75" customHeight="1">
      <c r="A46" s="35" t="s">
        <v>111</v>
      </c>
      <c r="C46" s="35" t="s">
        <v>245</v>
      </c>
      <c r="D46" s="40">
        <v>46071.0</v>
      </c>
      <c r="E46" s="35" t="s">
        <v>284</v>
      </c>
      <c r="F46" s="35">
        <v>652.0</v>
      </c>
      <c r="G46" s="40">
        <v>46052.0</v>
      </c>
      <c r="H46" s="35" t="s">
        <v>340</v>
      </c>
      <c r="I46" s="35" t="s">
        <v>236</v>
      </c>
      <c r="J46" s="35">
        <v>54.0</v>
      </c>
      <c r="K46" s="35">
        <v>0.0</v>
      </c>
      <c r="L46" s="39">
        <f t="shared" si="1"/>
        <v>54</v>
      </c>
    </row>
    <row r="47" ht="15.75" customHeight="1">
      <c r="A47" s="35" t="s">
        <v>111</v>
      </c>
      <c r="C47" s="35" t="s">
        <v>245</v>
      </c>
      <c r="D47" s="40">
        <v>46071.0</v>
      </c>
      <c r="E47" s="35" t="s">
        <v>284</v>
      </c>
      <c r="F47" s="35">
        <v>653.0</v>
      </c>
      <c r="G47" s="40">
        <v>46056.0</v>
      </c>
      <c r="H47" s="35" t="s">
        <v>341</v>
      </c>
      <c r="I47" s="35" t="s">
        <v>236</v>
      </c>
      <c r="J47" s="35">
        <v>14.0</v>
      </c>
      <c r="K47" s="35">
        <v>0.0</v>
      </c>
      <c r="L47" s="39">
        <f t="shared" si="1"/>
        <v>14</v>
      </c>
    </row>
    <row r="48" ht="15.75" customHeight="1">
      <c r="A48" s="35" t="s">
        <v>111</v>
      </c>
      <c r="C48" s="35" t="s">
        <v>245</v>
      </c>
      <c r="D48" s="40">
        <v>46071.0</v>
      </c>
      <c r="E48" s="35" t="s">
        <v>284</v>
      </c>
      <c r="F48" s="35">
        <v>654.0</v>
      </c>
      <c r="G48" s="40">
        <v>46057.0</v>
      </c>
      <c r="H48" s="35" t="s">
        <v>342</v>
      </c>
      <c r="I48" s="35" t="s">
        <v>236</v>
      </c>
      <c r="J48" s="35">
        <v>20.0</v>
      </c>
      <c r="K48" s="35">
        <v>0.0</v>
      </c>
      <c r="L48" s="39">
        <f t="shared" si="1"/>
        <v>20</v>
      </c>
    </row>
    <row r="49" ht="15.75" customHeight="1">
      <c r="A49" s="35" t="s">
        <v>111</v>
      </c>
      <c r="C49" s="35" t="s">
        <v>245</v>
      </c>
      <c r="D49" s="40">
        <v>46071.0</v>
      </c>
      <c r="E49" s="35" t="s">
        <v>284</v>
      </c>
      <c r="F49" s="35">
        <v>655.0</v>
      </c>
      <c r="G49" s="40">
        <v>46053.0</v>
      </c>
      <c r="H49" s="35" t="s">
        <v>343</v>
      </c>
      <c r="I49" s="35" t="s">
        <v>236</v>
      </c>
      <c r="J49" s="35">
        <v>14.0</v>
      </c>
      <c r="K49" s="35">
        <v>0.0</v>
      </c>
      <c r="L49" s="39">
        <f t="shared" si="1"/>
        <v>14</v>
      </c>
    </row>
    <row r="50" ht="15.75" customHeight="1">
      <c r="A50" s="35" t="s">
        <v>111</v>
      </c>
      <c r="C50" s="35" t="s">
        <v>245</v>
      </c>
      <c r="D50" s="40">
        <v>46071.0</v>
      </c>
      <c r="E50" s="35" t="s">
        <v>284</v>
      </c>
      <c r="F50" s="35">
        <v>656.0</v>
      </c>
      <c r="G50" s="40">
        <v>46066.0</v>
      </c>
      <c r="H50" s="35" t="s">
        <v>344</v>
      </c>
      <c r="I50" s="35" t="s">
        <v>236</v>
      </c>
      <c r="J50" s="35">
        <v>13.0</v>
      </c>
      <c r="K50" s="35">
        <v>0.0</v>
      </c>
      <c r="L50" s="39">
        <f t="shared" si="1"/>
        <v>13</v>
      </c>
    </row>
    <row r="51" ht="15.75" customHeight="1">
      <c r="A51" s="35" t="s">
        <v>111</v>
      </c>
      <c r="C51" s="35" t="s">
        <v>245</v>
      </c>
      <c r="D51" s="40">
        <v>46071.0</v>
      </c>
      <c r="E51" s="35" t="s">
        <v>284</v>
      </c>
      <c r="F51" s="35">
        <v>657.0</v>
      </c>
      <c r="G51" s="40">
        <v>46051.0</v>
      </c>
      <c r="H51" s="35" t="s">
        <v>345</v>
      </c>
      <c r="I51" s="35" t="s">
        <v>236</v>
      </c>
      <c r="J51" s="35">
        <v>3.0</v>
      </c>
      <c r="K51" s="35">
        <v>0.0</v>
      </c>
      <c r="L51" s="39">
        <f t="shared" si="1"/>
        <v>3</v>
      </c>
    </row>
    <row r="52" ht="15.75" customHeight="1">
      <c r="A52" s="35" t="s">
        <v>111</v>
      </c>
      <c r="C52" s="35" t="s">
        <v>245</v>
      </c>
      <c r="D52" s="40">
        <v>46071.0</v>
      </c>
      <c r="E52" s="35" t="s">
        <v>284</v>
      </c>
      <c r="F52" s="35">
        <v>658.0</v>
      </c>
      <c r="G52" s="40">
        <v>46058.0</v>
      </c>
      <c r="H52" s="35" t="s">
        <v>346</v>
      </c>
      <c r="I52" s="35" t="s">
        <v>236</v>
      </c>
      <c r="J52" s="35">
        <v>28.0</v>
      </c>
      <c r="K52" s="35">
        <v>0.0</v>
      </c>
      <c r="L52" s="39">
        <f t="shared" si="1"/>
        <v>28</v>
      </c>
    </row>
    <row r="53" ht="15.75" customHeight="1">
      <c r="A53" s="35" t="s">
        <v>111</v>
      </c>
      <c r="C53" s="35" t="s">
        <v>245</v>
      </c>
      <c r="D53" s="40">
        <v>46071.0</v>
      </c>
      <c r="E53" s="35" t="s">
        <v>284</v>
      </c>
      <c r="F53" s="35">
        <v>659.0</v>
      </c>
      <c r="G53" s="35" t="s">
        <v>347</v>
      </c>
      <c r="H53" s="35" t="s">
        <v>341</v>
      </c>
      <c r="I53" s="35" t="s">
        <v>236</v>
      </c>
      <c r="J53" s="35">
        <v>12.0</v>
      </c>
      <c r="K53" s="35">
        <v>0.0</v>
      </c>
      <c r="L53" s="39">
        <f t="shared" si="1"/>
        <v>12</v>
      </c>
    </row>
    <row r="54" ht="15.75" customHeight="1">
      <c r="A54" s="35" t="s">
        <v>111</v>
      </c>
      <c r="C54" s="35" t="s">
        <v>245</v>
      </c>
      <c r="D54" s="40">
        <v>46071.0</v>
      </c>
      <c r="E54" s="35" t="s">
        <v>284</v>
      </c>
      <c r="F54" s="35">
        <v>660.0</v>
      </c>
      <c r="G54" s="35" t="s">
        <v>348</v>
      </c>
      <c r="H54" s="35" t="s">
        <v>341</v>
      </c>
      <c r="I54" s="35" t="s">
        <v>236</v>
      </c>
      <c r="J54" s="35">
        <v>36.0</v>
      </c>
      <c r="K54" s="35">
        <v>0.0</v>
      </c>
      <c r="L54" s="39">
        <f t="shared" si="1"/>
        <v>36</v>
      </c>
    </row>
    <row r="55" ht="15.75" customHeight="1">
      <c r="A55" s="35" t="s">
        <v>111</v>
      </c>
      <c r="C55" s="35" t="s">
        <v>245</v>
      </c>
      <c r="D55" s="40">
        <v>46071.0</v>
      </c>
      <c r="E55" s="35" t="s">
        <v>284</v>
      </c>
      <c r="F55" s="35">
        <v>661.0</v>
      </c>
      <c r="G55" s="40">
        <v>46059.0</v>
      </c>
      <c r="H55" s="35" t="s">
        <v>349</v>
      </c>
      <c r="I55" s="35" t="s">
        <v>236</v>
      </c>
      <c r="J55" s="35">
        <v>18.0</v>
      </c>
      <c r="K55" s="35">
        <v>0.0</v>
      </c>
      <c r="L55" s="39">
        <f t="shared" si="1"/>
        <v>18</v>
      </c>
    </row>
    <row r="56" ht="15.75" customHeight="1">
      <c r="A56" s="35" t="s">
        <v>111</v>
      </c>
      <c r="C56" s="35" t="s">
        <v>245</v>
      </c>
      <c r="D56" s="40">
        <v>46071.0</v>
      </c>
      <c r="E56" s="35" t="s">
        <v>284</v>
      </c>
      <c r="F56" s="35">
        <v>662.0</v>
      </c>
      <c r="G56" s="40">
        <v>46063.0</v>
      </c>
      <c r="H56" s="35" t="s">
        <v>350</v>
      </c>
      <c r="I56" s="35" t="s">
        <v>236</v>
      </c>
      <c r="J56" s="35">
        <v>42.0</v>
      </c>
      <c r="K56" s="35">
        <v>0.0</v>
      </c>
      <c r="L56" s="39">
        <f t="shared" si="1"/>
        <v>42</v>
      </c>
    </row>
    <row r="57" ht="15.75" customHeight="1">
      <c r="A57" s="35" t="s">
        <v>111</v>
      </c>
      <c r="C57" s="35" t="s">
        <v>245</v>
      </c>
      <c r="D57" s="40">
        <v>46071.0</v>
      </c>
      <c r="E57" s="35" t="s">
        <v>284</v>
      </c>
      <c r="F57" s="35">
        <v>663.0</v>
      </c>
      <c r="G57" s="35" t="s">
        <v>351</v>
      </c>
      <c r="H57" s="35" t="s">
        <v>350</v>
      </c>
      <c r="I57" s="35" t="s">
        <v>236</v>
      </c>
      <c r="J57" s="35">
        <v>4.0</v>
      </c>
      <c r="K57" s="35">
        <v>0.0</v>
      </c>
      <c r="L57" s="39">
        <f t="shared" si="1"/>
        <v>4</v>
      </c>
    </row>
    <row r="58" ht="15.75" customHeight="1">
      <c r="A58" s="35" t="s">
        <v>111</v>
      </c>
      <c r="C58" s="35" t="s">
        <v>245</v>
      </c>
      <c r="D58" s="40">
        <v>46071.0</v>
      </c>
      <c r="E58" s="35" t="s">
        <v>284</v>
      </c>
      <c r="F58" s="35">
        <v>664.0</v>
      </c>
      <c r="G58" s="35" t="s">
        <v>352</v>
      </c>
      <c r="H58" s="35" t="s">
        <v>353</v>
      </c>
      <c r="I58" s="35" t="s">
        <v>236</v>
      </c>
      <c r="J58" s="35">
        <v>100.0</v>
      </c>
      <c r="K58" s="35">
        <v>0.0</v>
      </c>
      <c r="L58" s="39">
        <f t="shared" si="1"/>
        <v>100</v>
      </c>
    </row>
    <row r="59" ht="15.75" customHeight="1">
      <c r="A59" s="35" t="s">
        <v>111</v>
      </c>
      <c r="C59" s="35" t="s">
        <v>245</v>
      </c>
      <c r="D59" s="40">
        <v>46071.0</v>
      </c>
      <c r="E59" s="35" t="s">
        <v>284</v>
      </c>
      <c r="F59" s="35">
        <v>667.0</v>
      </c>
      <c r="G59" s="35">
        <v>1003688.0</v>
      </c>
      <c r="H59" s="35" t="s">
        <v>354</v>
      </c>
      <c r="I59" s="35" t="s">
        <v>236</v>
      </c>
      <c r="J59" s="35">
        <v>188.8</v>
      </c>
      <c r="K59" s="35">
        <v>0.0</v>
      </c>
      <c r="L59" s="39">
        <f t="shared" si="1"/>
        <v>188.8</v>
      </c>
    </row>
    <row r="60" ht="15.75" customHeight="1">
      <c r="A60" s="35" t="s">
        <v>111</v>
      </c>
      <c r="C60" s="35" t="s">
        <v>245</v>
      </c>
      <c r="D60" s="40">
        <v>46071.0</v>
      </c>
      <c r="E60" s="35" t="s">
        <v>284</v>
      </c>
      <c r="F60" s="35">
        <v>668.0</v>
      </c>
      <c r="G60" s="35" t="s">
        <v>355</v>
      </c>
      <c r="H60" s="35" t="s">
        <v>356</v>
      </c>
      <c r="I60" s="35" t="s">
        <v>236</v>
      </c>
      <c r="J60" s="35">
        <v>35.0</v>
      </c>
      <c r="K60" s="35">
        <v>0.0</v>
      </c>
      <c r="L60" s="39">
        <f t="shared" si="1"/>
        <v>35</v>
      </c>
    </row>
    <row r="61" ht="15.75" customHeight="1">
      <c r="A61" s="35" t="s">
        <v>111</v>
      </c>
      <c r="C61" s="35" t="s">
        <v>245</v>
      </c>
      <c r="D61" s="40">
        <v>46071.0</v>
      </c>
      <c r="E61" s="35" t="s">
        <v>284</v>
      </c>
      <c r="F61" s="35">
        <v>669.0</v>
      </c>
      <c r="G61" s="35" t="s">
        <v>357</v>
      </c>
      <c r="H61" s="35" t="s">
        <v>358</v>
      </c>
      <c r="I61" s="35" t="s">
        <v>236</v>
      </c>
      <c r="J61" s="35">
        <v>46.85</v>
      </c>
      <c r="K61" s="35">
        <v>0.0</v>
      </c>
      <c r="L61" s="39">
        <f t="shared" si="1"/>
        <v>46.85</v>
      </c>
    </row>
    <row r="62" ht="15.75" customHeight="1">
      <c r="A62" s="35" t="s">
        <v>111</v>
      </c>
      <c r="C62" s="35" t="s">
        <v>245</v>
      </c>
      <c r="D62" s="40">
        <v>46079.0</v>
      </c>
      <c r="E62" s="35" t="s">
        <v>284</v>
      </c>
      <c r="F62" s="35">
        <v>695.0</v>
      </c>
      <c r="G62" s="35">
        <v>90.0</v>
      </c>
      <c r="H62" s="35" t="s">
        <v>359</v>
      </c>
      <c r="I62" s="35" t="s">
        <v>236</v>
      </c>
      <c r="J62" s="35">
        <v>190.09</v>
      </c>
      <c r="K62" s="35">
        <v>0.0</v>
      </c>
      <c r="L62" s="39">
        <f t="shared" si="1"/>
        <v>190.09</v>
      </c>
    </row>
    <row r="63" ht="15.75" customHeight="1">
      <c r="A63" s="35" t="s">
        <v>111</v>
      </c>
      <c r="C63" s="35" t="s">
        <v>245</v>
      </c>
      <c r="D63" s="40">
        <v>46079.0</v>
      </c>
      <c r="E63" s="35" t="s">
        <v>284</v>
      </c>
      <c r="F63" s="35">
        <v>697.0</v>
      </c>
      <c r="G63" s="35">
        <v>148.0</v>
      </c>
      <c r="H63" s="35" t="s">
        <v>360</v>
      </c>
      <c r="I63" s="35" t="s">
        <v>236</v>
      </c>
      <c r="J63" s="35">
        <v>614.41</v>
      </c>
      <c r="K63" s="35">
        <v>0.0</v>
      </c>
      <c r="L63" s="39">
        <f t="shared" si="1"/>
        <v>614.41</v>
      </c>
    </row>
    <row r="64" ht="15.75" customHeight="1">
      <c r="A64" s="35" t="s">
        <v>111</v>
      </c>
      <c r="C64" s="35" t="s">
        <v>245</v>
      </c>
      <c r="D64" s="40">
        <v>46079.0</v>
      </c>
      <c r="E64" s="35" t="s">
        <v>284</v>
      </c>
      <c r="F64" s="35">
        <v>698.0</v>
      </c>
      <c r="G64" s="35">
        <v>119.0</v>
      </c>
      <c r="H64" s="35" t="s">
        <v>361</v>
      </c>
      <c r="I64" s="35" t="s">
        <v>236</v>
      </c>
      <c r="J64" s="35">
        <v>115.0</v>
      </c>
      <c r="K64" s="35">
        <v>0.0</v>
      </c>
      <c r="L64" s="39">
        <f t="shared" si="1"/>
        <v>115</v>
      </c>
    </row>
    <row r="65" ht="15.75" customHeight="1">
      <c r="A65" s="35" t="s">
        <v>111</v>
      </c>
      <c r="C65" s="35" t="s">
        <v>245</v>
      </c>
      <c r="D65" s="40">
        <v>46092.0</v>
      </c>
      <c r="E65" s="35" t="s">
        <v>284</v>
      </c>
      <c r="F65" s="35">
        <v>752.0</v>
      </c>
      <c r="G65" s="35">
        <v>949.0</v>
      </c>
      <c r="H65" s="35" t="s">
        <v>362</v>
      </c>
      <c r="I65" s="35" t="s">
        <v>236</v>
      </c>
      <c r="J65" s="35">
        <v>13.5</v>
      </c>
      <c r="K65" s="35">
        <v>0.0</v>
      </c>
      <c r="L65" s="39">
        <f t="shared" si="1"/>
        <v>13.5</v>
      </c>
    </row>
    <row r="66" ht="15.75" customHeight="1">
      <c r="A66" s="35" t="s">
        <v>111</v>
      </c>
      <c r="C66" s="35" t="s">
        <v>245</v>
      </c>
      <c r="D66" s="40">
        <v>46092.0</v>
      </c>
      <c r="E66" s="35" t="s">
        <v>284</v>
      </c>
      <c r="F66" s="35">
        <v>753.0</v>
      </c>
      <c r="G66" s="35" t="s">
        <v>363</v>
      </c>
      <c r="H66" s="35" t="s">
        <v>364</v>
      </c>
      <c r="I66" s="35" t="s">
        <v>236</v>
      </c>
      <c r="J66" s="35">
        <v>45.0</v>
      </c>
      <c r="K66" s="35">
        <v>0.0</v>
      </c>
      <c r="L66" s="39">
        <f t="shared" si="1"/>
        <v>45</v>
      </c>
    </row>
    <row r="67" ht="15.75" customHeight="1">
      <c r="A67" s="35" t="s">
        <v>111</v>
      </c>
      <c r="C67" s="35" t="s">
        <v>245</v>
      </c>
      <c r="D67" s="40">
        <v>46092.0</v>
      </c>
      <c r="E67" s="35" t="s">
        <v>284</v>
      </c>
      <c r="F67" s="35">
        <v>751.0</v>
      </c>
      <c r="G67" s="35">
        <v>963.0</v>
      </c>
      <c r="H67" s="35" t="s">
        <v>365</v>
      </c>
      <c r="I67" s="35" t="s">
        <v>236</v>
      </c>
      <c r="J67" s="35">
        <v>106.0</v>
      </c>
      <c r="K67" s="35">
        <v>0.0</v>
      </c>
      <c r="L67" s="39">
        <f t="shared" si="1"/>
        <v>106</v>
      </c>
    </row>
    <row r="68" ht="15.75" customHeight="1">
      <c r="A68" s="35" t="s">
        <v>111</v>
      </c>
      <c r="C68" s="35" t="s">
        <v>245</v>
      </c>
      <c r="D68" s="40">
        <v>46092.0</v>
      </c>
      <c r="E68" s="35" t="s">
        <v>284</v>
      </c>
      <c r="F68" s="35">
        <v>748.0</v>
      </c>
      <c r="G68" s="35">
        <v>812.0</v>
      </c>
      <c r="H68" s="35" t="s">
        <v>366</v>
      </c>
      <c r="I68" s="35" t="s">
        <v>236</v>
      </c>
      <c r="J68" s="35">
        <v>253.0</v>
      </c>
      <c r="K68" s="35">
        <v>0.0</v>
      </c>
      <c r="L68" s="39">
        <f t="shared" si="1"/>
        <v>253</v>
      </c>
    </row>
    <row r="69" ht="15.75" customHeight="1">
      <c r="A69" s="35" t="s">
        <v>111</v>
      </c>
      <c r="C69" s="35" t="s">
        <v>245</v>
      </c>
      <c r="D69" s="40">
        <v>46092.0</v>
      </c>
      <c r="E69" s="35" t="s">
        <v>284</v>
      </c>
      <c r="F69" s="35">
        <v>749.0</v>
      </c>
      <c r="G69" s="35">
        <v>901.0</v>
      </c>
      <c r="H69" s="35" t="s">
        <v>367</v>
      </c>
      <c r="I69" s="35" t="s">
        <v>236</v>
      </c>
      <c r="J69" s="35">
        <v>121.92</v>
      </c>
      <c r="K69" s="35">
        <v>0.0</v>
      </c>
      <c r="L69" s="39">
        <f t="shared" si="1"/>
        <v>121.92</v>
      </c>
    </row>
    <row r="70" ht="15.75" customHeight="1">
      <c r="A70" s="35" t="s">
        <v>111</v>
      </c>
      <c r="C70" s="35" t="s">
        <v>245</v>
      </c>
      <c r="D70" s="40">
        <v>46092.0</v>
      </c>
      <c r="E70" s="35" t="s">
        <v>284</v>
      </c>
      <c r="F70" s="35">
        <v>750.0</v>
      </c>
      <c r="G70" s="35">
        <v>904.0</v>
      </c>
      <c r="H70" s="35" t="s">
        <v>368</v>
      </c>
      <c r="I70" s="35" t="s">
        <v>236</v>
      </c>
      <c r="J70" s="35">
        <v>22.0</v>
      </c>
      <c r="K70" s="35">
        <v>0.0</v>
      </c>
      <c r="L70" s="39">
        <f t="shared" si="1"/>
        <v>22</v>
      </c>
    </row>
    <row r="71" ht="15.75" customHeight="1">
      <c r="A71" s="35" t="s">
        <v>111</v>
      </c>
      <c r="C71" s="35" t="s">
        <v>245</v>
      </c>
      <c r="D71" s="40">
        <v>46107.0</v>
      </c>
      <c r="E71" s="35" t="s">
        <v>284</v>
      </c>
      <c r="F71" s="35">
        <v>980.0</v>
      </c>
      <c r="G71" s="35" t="s">
        <v>369</v>
      </c>
      <c r="H71" s="35" t="s">
        <v>370</v>
      </c>
      <c r="I71" s="35" t="s">
        <v>236</v>
      </c>
      <c r="J71" s="35">
        <v>43.24</v>
      </c>
      <c r="K71" s="35">
        <v>0.0</v>
      </c>
      <c r="L71" s="39">
        <f t="shared" si="1"/>
        <v>43.24</v>
      </c>
    </row>
    <row r="72" ht="15.75" customHeight="1">
      <c r="A72" s="35" t="s">
        <v>111</v>
      </c>
      <c r="C72" s="35" t="s">
        <v>245</v>
      </c>
      <c r="D72" s="40">
        <v>46107.0</v>
      </c>
      <c r="E72" s="35" t="s">
        <v>284</v>
      </c>
      <c r="F72" s="35">
        <v>981.0</v>
      </c>
      <c r="G72" s="35" t="s">
        <v>371</v>
      </c>
      <c r="H72" s="35" t="s">
        <v>372</v>
      </c>
      <c r="I72" s="35" t="s">
        <v>236</v>
      </c>
      <c r="J72" s="35">
        <v>39.64</v>
      </c>
      <c r="K72" s="35">
        <v>0.0</v>
      </c>
      <c r="L72" s="39">
        <f t="shared" si="1"/>
        <v>39.64</v>
      </c>
    </row>
    <row r="73" ht="15.75" customHeight="1">
      <c r="A73" s="35" t="s">
        <v>111</v>
      </c>
      <c r="C73" s="35" t="s">
        <v>245</v>
      </c>
      <c r="D73" s="40">
        <v>46107.0</v>
      </c>
      <c r="E73" s="35" t="s">
        <v>284</v>
      </c>
      <c r="F73" s="35">
        <v>982.0</v>
      </c>
      <c r="G73" s="35" t="s">
        <v>373</v>
      </c>
      <c r="H73" s="35" t="s">
        <v>374</v>
      </c>
      <c r="I73" s="35" t="s">
        <v>236</v>
      </c>
      <c r="J73" s="35">
        <v>52.25</v>
      </c>
      <c r="K73" s="35">
        <v>0.0</v>
      </c>
      <c r="L73" s="39">
        <f t="shared" si="1"/>
        <v>52.25</v>
      </c>
    </row>
    <row r="74" ht="15.75" customHeight="1">
      <c r="A74" s="35" t="s">
        <v>111</v>
      </c>
      <c r="C74" s="35" t="s">
        <v>245</v>
      </c>
      <c r="D74" s="40">
        <v>46107.0</v>
      </c>
      <c r="E74" s="35" t="s">
        <v>284</v>
      </c>
      <c r="F74" s="35">
        <v>983.0</v>
      </c>
      <c r="G74" s="35" t="s">
        <v>375</v>
      </c>
      <c r="H74" s="35" t="s">
        <v>376</v>
      </c>
      <c r="I74" s="35" t="s">
        <v>236</v>
      </c>
      <c r="J74" s="35">
        <v>43.24</v>
      </c>
      <c r="K74" s="35">
        <v>0.0</v>
      </c>
      <c r="L74" s="39">
        <f t="shared" si="1"/>
        <v>43.24</v>
      </c>
    </row>
    <row r="75" ht="15.75" customHeight="1">
      <c r="A75" s="35" t="s">
        <v>111</v>
      </c>
      <c r="C75" s="35" t="s">
        <v>245</v>
      </c>
      <c r="D75" s="40">
        <v>46107.0</v>
      </c>
      <c r="E75" s="35" t="s">
        <v>284</v>
      </c>
      <c r="F75" s="35">
        <v>984.0</v>
      </c>
      <c r="G75" s="40">
        <v>46071.0</v>
      </c>
      <c r="H75" s="35" t="s">
        <v>377</v>
      </c>
      <c r="I75" s="35" t="s">
        <v>236</v>
      </c>
      <c r="J75" s="35">
        <v>60.0</v>
      </c>
      <c r="K75" s="35">
        <v>0.0</v>
      </c>
      <c r="L75" s="39">
        <f t="shared" si="1"/>
        <v>60</v>
      </c>
    </row>
    <row r="76" ht="15.75" customHeight="1">
      <c r="A76" s="35" t="s">
        <v>111</v>
      </c>
      <c r="C76" s="35" t="s">
        <v>245</v>
      </c>
      <c r="D76" s="40">
        <v>46107.0</v>
      </c>
      <c r="E76" s="35" t="s">
        <v>284</v>
      </c>
      <c r="F76" s="35">
        <v>985.0</v>
      </c>
      <c r="G76" s="40">
        <v>46079.0</v>
      </c>
      <c r="H76" s="35" t="s">
        <v>378</v>
      </c>
      <c r="I76" s="35" t="s">
        <v>236</v>
      </c>
      <c r="J76" s="35">
        <v>40.0</v>
      </c>
      <c r="K76" s="35">
        <v>0.0</v>
      </c>
      <c r="L76" s="39">
        <f t="shared" si="1"/>
        <v>40</v>
      </c>
    </row>
    <row r="77" ht="15.75" customHeight="1">
      <c r="A77" s="35" t="s">
        <v>111</v>
      </c>
      <c r="C77" s="35" t="s">
        <v>245</v>
      </c>
      <c r="D77" s="40">
        <v>46107.0</v>
      </c>
      <c r="E77" s="35" t="s">
        <v>284</v>
      </c>
      <c r="F77" s="35">
        <v>990.0</v>
      </c>
      <c r="G77" s="40">
        <v>46099.0</v>
      </c>
      <c r="H77" s="35" t="s">
        <v>379</v>
      </c>
      <c r="I77" s="35" t="s">
        <v>236</v>
      </c>
      <c r="J77" s="35">
        <v>35.0</v>
      </c>
      <c r="K77" s="35">
        <v>0.0</v>
      </c>
      <c r="L77" s="39">
        <f t="shared" si="1"/>
        <v>35</v>
      </c>
    </row>
    <row r="78" ht="15.75" customHeight="1">
      <c r="A78" s="35" t="s">
        <v>111</v>
      </c>
      <c r="C78" s="35" t="s">
        <v>245</v>
      </c>
      <c r="D78" s="40">
        <v>46107.0</v>
      </c>
      <c r="E78" s="35" t="s">
        <v>284</v>
      </c>
      <c r="F78" s="35">
        <v>986.0</v>
      </c>
      <c r="G78" s="40">
        <v>46107.0</v>
      </c>
      <c r="H78" s="35" t="s">
        <v>380</v>
      </c>
      <c r="I78" s="35" t="s">
        <v>236</v>
      </c>
      <c r="J78" s="35">
        <v>14.0</v>
      </c>
      <c r="K78" s="35">
        <v>0.0</v>
      </c>
      <c r="L78" s="39">
        <f t="shared" si="1"/>
        <v>14</v>
      </c>
    </row>
    <row r="79" ht="15.75" customHeight="1">
      <c r="A79" s="35" t="s">
        <v>111</v>
      </c>
      <c r="C79" s="35" t="s">
        <v>245</v>
      </c>
      <c r="D79" s="40">
        <v>46107.0</v>
      </c>
      <c r="E79" s="35" t="s">
        <v>284</v>
      </c>
      <c r="F79" s="35">
        <v>987.0</v>
      </c>
      <c r="G79" s="40">
        <v>46084.0</v>
      </c>
      <c r="H79" s="35" t="s">
        <v>381</v>
      </c>
      <c r="I79" s="35" t="s">
        <v>236</v>
      </c>
      <c r="J79" s="35">
        <v>120.0</v>
      </c>
      <c r="K79" s="35">
        <v>0.0</v>
      </c>
      <c r="L79" s="39">
        <f t="shared" si="1"/>
        <v>120</v>
      </c>
    </row>
    <row r="80" ht="15.75" customHeight="1">
      <c r="A80" s="35" t="s">
        <v>111</v>
      </c>
      <c r="C80" s="35" t="s">
        <v>245</v>
      </c>
      <c r="D80" s="40">
        <v>46107.0</v>
      </c>
      <c r="E80" s="35" t="s">
        <v>284</v>
      </c>
      <c r="F80" s="35">
        <v>988.0</v>
      </c>
      <c r="G80" s="35">
        <v>32168.0</v>
      </c>
      <c r="H80" s="35" t="s">
        <v>382</v>
      </c>
      <c r="I80" s="35" t="s">
        <v>236</v>
      </c>
      <c r="J80" s="35">
        <v>115.0</v>
      </c>
      <c r="K80" s="35">
        <v>0.0</v>
      </c>
      <c r="L80" s="39">
        <f t="shared" si="1"/>
        <v>115</v>
      </c>
    </row>
    <row r="81" ht="15.75" customHeight="1">
      <c r="A81" s="35" t="s">
        <v>111</v>
      </c>
      <c r="C81" s="35" t="s">
        <v>245</v>
      </c>
      <c r="D81" s="40">
        <v>46107.0</v>
      </c>
      <c r="E81" s="35" t="s">
        <v>284</v>
      </c>
      <c r="F81" s="35">
        <v>989.0</v>
      </c>
      <c r="G81" s="35">
        <v>21.0</v>
      </c>
      <c r="H81" s="35" t="s">
        <v>383</v>
      </c>
      <c r="I81" s="35" t="s">
        <v>236</v>
      </c>
      <c r="J81" s="35">
        <v>100.0</v>
      </c>
      <c r="K81" s="35">
        <v>0.0</v>
      </c>
      <c r="L81" s="39">
        <f t="shared" si="1"/>
        <v>100</v>
      </c>
    </row>
    <row r="82" ht="15.75" customHeight="1">
      <c r="A82" s="35" t="s">
        <v>111</v>
      </c>
      <c r="C82" s="35" t="s">
        <v>245</v>
      </c>
      <c r="D82" s="40">
        <v>46107.0</v>
      </c>
      <c r="E82" s="35" t="s">
        <v>284</v>
      </c>
      <c r="F82" s="35">
        <v>991.0</v>
      </c>
      <c r="G82" s="40">
        <v>46076.0</v>
      </c>
      <c r="H82" s="35" t="s">
        <v>384</v>
      </c>
      <c r="I82" s="35" t="s">
        <v>236</v>
      </c>
      <c r="J82" s="35">
        <v>3.0</v>
      </c>
      <c r="K82" s="35">
        <v>0.0</v>
      </c>
      <c r="L82" s="39">
        <f t="shared" si="1"/>
        <v>3</v>
      </c>
    </row>
    <row r="83" ht="15.75" customHeight="1">
      <c r="A83" s="35" t="s">
        <v>111</v>
      </c>
      <c r="C83" s="35" t="s">
        <v>245</v>
      </c>
      <c r="D83" s="40">
        <v>46107.0</v>
      </c>
      <c r="E83" s="35" t="s">
        <v>284</v>
      </c>
      <c r="F83" s="35">
        <v>992.0</v>
      </c>
      <c r="G83" s="40">
        <v>46084.0</v>
      </c>
      <c r="H83" s="35" t="s">
        <v>385</v>
      </c>
      <c r="I83" s="35" t="s">
        <v>236</v>
      </c>
      <c r="J83" s="35">
        <v>84.0</v>
      </c>
      <c r="K83" s="35">
        <v>0.0</v>
      </c>
      <c r="L83" s="39">
        <f t="shared" si="1"/>
        <v>84</v>
      </c>
    </row>
    <row r="84" ht="15.75" customHeight="1">
      <c r="A84" s="35" t="s">
        <v>111</v>
      </c>
      <c r="C84" s="35" t="s">
        <v>245</v>
      </c>
      <c r="D84" s="40">
        <v>46107.0</v>
      </c>
      <c r="E84" s="35" t="s">
        <v>284</v>
      </c>
      <c r="F84" s="35">
        <v>993.0</v>
      </c>
      <c r="G84" s="35" t="s">
        <v>386</v>
      </c>
      <c r="H84" s="35" t="s">
        <v>387</v>
      </c>
      <c r="I84" s="35" t="s">
        <v>236</v>
      </c>
      <c r="J84" s="35">
        <v>8.0</v>
      </c>
      <c r="K84" s="35">
        <v>0.0</v>
      </c>
      <c r="L84" s="39">
        <f t="shared" si="1"/>
        <v>8</v>
      </c>
    </row>
    <row r="85" ht="15.75" customHeight="1">
      <c r="A85" s="35" t="s">
        <v>111</v>
      </c>
      <c r="C85" s="35" t="s">
        <v>245</v>
      </c>
      <c r="D85" s="40">
        <v>46107.0</v>
      </c>
      <c r="E85" s="35" t="s">
        <v>284</v>
      </c>
      <c r="F85" s="35">
        <v>994.0</v>
      </c>
      <c r="G85" s="40">
        <v>46080.0</v>
      </c>
      <c r="H85" s="35" t="s">
        <v>388</v>
      </c>
      <c r="I85" s="35" t="s">
        <v>236</v>
      </c>
      <c r="J85" s="35">
        <v>8.0</v>
      </c>
      <c r="K85" s="35">
        <v>0.0</v>
      </c>
      <c r="L85" s="39">
        <f t="shared" si="1"/>
        <v>8</v>
      </c>
    </row>
    <row r="86" ht="15.75" customHeight="1">
      <c r="A86" s="35" t="s">
        <v>111</v>
      </c>
      <c r="C86" s="35" t="s">
        <v>245</v>
      </c>
      <c r="D86" s="40">
        <v>46107.0</v>
      </c>
      <c r="E86" s="35" t="s">
        <v>284</v>
      </c>
      <c r="F86" s="35">
        <v>995.0</v>
      </c>
      <c r="G86" s="35" t="s">
        <v>389</v>
      </c>
      <c r="H86" s="35" t="s">
        <v>388</v>
      </c>
      <c r="I86" s="35" t="s">
        <v>236</v>
      </c>
      <c r="J86" s="35">
        <v>83.0</v>
      </c>
      <c r="K86" s="35">
        <v>0.0</v>
      </c>
      <c r="L86" s="39">
        <f t="shared" si="1"/>
        <v>83</v>
      </c>
    </row>
    <row r="87" ht="15.75" customHeight="1">
      <c r="A87" s="35" t="s">
        <v>111</v>
      </c>
      <c r="C87" s="35" t="s">
        <v>245</v>
      </c>
      <c r="D87" s="40">
        <v>46108.0</v>
      </c>
      <c r="E87" s="35" t="s">
        <v>284</v>
      </c>
      <c r="F87" s="35">
        <v>996.0</v>
      </c>
      <c r="G87" s="35">
        <v>41.0</v>
      </c>
      <c r="H87" s="35" t="s">
        <v>390</v>
      </c>
      <c r="I87" s="35" t="s">
        <v>236</v>
      </c>
      <c r="J87" s="35">
        <v>110.0</v>
      </c>
      <c r="K87" s="35">
        <v>0.0</v>
      </c>
      <c r="L87" s="39">
        <f t="shared" si="1"/>
        <v>110</v>
      </c>
    </row>
    <row r="88" ht="15.75" customHeight="1">
      <c r="A88" s="35" t="s">
        <v>111</v>
      </c>
      <c r="C88" s="35" t="s">
        <v>245</v>
      </c>
      <c r="D88" s="40">
        <v>46108.0</v>
      </c>
      <c r="E88" s="35" t="s">
        <v>284</v>
      </c>
      <c r="F88" s="35">
        <v>999.0</v>
      </c>
      <c r="G88" s="35">
        <v>294.0</v>
      </c>
      <c r="H88" s="35" t="s">
        <v>391</v>
      </c>
      <c r="I88" s="35" t="s">
        <v>236</v>
      </c>
      <c r="J88" s="35">
        <v>447.0</v>
      </c>
      <c r="K88" s="35">
        <v>0.0</v>
      </c>
      <c r="L88" s="39">
        <f t="shared" si="1"/>
        <v>447</v>
      </c>
    </row>
    <row r="89" ht="15.75" customHeight="1">
      <c r="A89" s="35" t="s">
        <v>111</v>
      </c>
      <c r="C89" s="35" t="s">
        <v>245</v>
      </c>
      <c r="D89" s="40">
        <v>46108.0</v>
      </c>
      <c r="E89" s="35" t="s">
        <v>284</v>
      </c>
      <c r="F89" s="35">
        <v>1000.0</v>
      </c>
      <c r="G89" s="35">
        <v>252.0</v>
      </c>
      <c r="H89" s="35" t="s">
        <v>392</v>
      </c>
      <c r="I89" s="35" t="s">
        <v>236</v>
      </c>
      <c r="J89" s="35">
        <v>70.0</v>
      </c>
      <c r="K89" s="35">
        <v>0.0</v>
      </c>
      <c r="L89" s="39">
        <f t="shared" si="1"/>
        <v>70</v>
      </c>
    </row>
    <row r="90" ht="15.75" customHeight="1">
      <c r="A90" s="35" t="s">
        <v>111</v>
      </c>
      <c r="C90" s="35" t="s">
        <v>245</v>
      </c>
      <c r="D90" s="40">
        <v>46108.0</v>
      </c>
      <c r="E90" s="35" t="s">
        <v>284</v>
      </c>
      <c r="F90" s="35">
        <v>1001.0</v>
      </c>
      <c r="G90" s="35">
        <v>300.0</v>
      </c>
      <c r="H90" s="35" t="s">
        <v>393</v>
      </c>
      <c r="I90" s="35" t="s">
        <v>236</v>
      </c>
      <c r="J90" s="35">
        <v>42.0</v>
      </c>
      <c r="K90" s="35">
        <v>0.0</v>
      </c>
      <c r="L90" s="39">
        <f t="shared" si="1"/>
        <v>42</v>
      </c>
    </row>
    <row r="91" ht="15.75" customHeight="1">
      <c r="A91" s="35" t="s">
        <v>6</v>
      </c>
      <c r="C91" s="35" t="s">
        <v>246</v>
      </c>
      <c r="D91" s="40">
        <v>46044.0</v>
      </c>
      <c r="E91" s="35" t="s">
        <v>284</v>
      </c>
      <c r="F91" s="35">
        <v>344.0</v>
      </c>
      <c r="G91" s="35" t="s">
        <v>394</v>
      </c>
      <c r="H91" s="35" t="s">
        <v>395</v>
      </c>
      <c r="I91" s="35" t="s">
        <v>236</v>
      </c>
      <c r="J91" s="39">
        <v>39750.0</v>
      </c>
      <c r="K91" s="35">
        <v>0.0</v>
      </c>
      <c r="L91" s="39">
        <f t="shared" si="1"/>
        <v>39750</v>
      </c>
    </row>
    <row r="92" ht="15.75" customHeight="1">
      <c r="A92" s="35" t="s">
        <v>10</v>
      </c>
      <c r="C92" s="35" t="s">
        <v>247</v>
      </c>
      <c r="D92" s="40">
        <v>46044.0</v>
      </c>
      <c r="E92" s="35" t="s">
        <v>284</v>
      </c>
      <c r="F92" s="35">
        <v>343.0</v>
      </c>
      <c r="G92" s="35" t="s">
        <v>396</v>
      </c>
      <c r="H92" s="35" t="s">
        <v>397</v>
      </c>
      <c r="I92" s="35" t="s">
        <v>236</v>
      </c>
      <c r="J92" s="39">
        <v>20000.0</v>
      </c>
      <c r="K92" s="35">
        <v>0.0</v>
      </c>
      <c r="L92" s="39">
        <f t="shared" si="1"/>
        <v>20000</v>
      </c>
    </row>
    <row r="93" ht="15.75" customHeight="1">
      <c r="A93" s="35" t="s">
        <v>23</v>
      </c>
      <c r="C93" s="35" t="s">
        <v>248</v>
      </c>
      <c r="D93" s="40">
        <v>46053.0</v>
      </c>
      <c r="E93" s="35" t="s">
        <v>284</v>
      </c>
      <c r="F93" s="35">
        <v>650.0</v>
      </c>
      <c r="G93" s="35">
        <v>13088.0</v>
      </c>
      <c r="H93" s="35" t="s">
        <v>398</v>
      </c>
      <c r="I93" s="35" t="s">
        <v>236</v>
      </c>
      <c r="J93" s="39">
        <v>1650.0</v>
      </c>
      <c r="K93" s="35">
        <v>0.0</v>
      </c>
      <c r="L93" s="39">
        <f t="shared" si="1"/>
        <v>1650</v>
      </c>
    </row>
    <row r="94" ht="15.75" customHeight="1">
      <c r="A94" s="35" t="s">
        <v>23</v>
      </c>
      <c r="C94" s="35" t="s">
        <v>248</v>
      </c>
      <c r="D94" s="40">
        <v>46053.0</v>
      </c>
      <c r="E94" s="35" t="s">
        <v>284</v>
      </c>
      <c r="F94" s="35">
        <v>681.0</v>
      </c>
      <c r="G94" s="35" t="s">
        <v>399</v>
      </c>
      <c r="H94" s="35" t="s">
        <v>400</v>
      </c>
      <c r="I94" s="35" t="s">
        <v>236</v>
      </c>
      <c r="J94" s="39">
        <v>7050.0</v>
      </c>
      <c r="K94" s="35">
        <v>0.0</v>
      </c>
      <c r="L94" s="39">
        <f t="shared" si="1"/>
        <v>7050</v>
      </c>
    </row>
    <row r="95" ht="15.75" customHeight="1">
      <c r="A95" s="35" t="s">
        <v>23</v>
      </c>
      <c r="C95" s="35" t="s">
        <v>248</v>
      </c>
      <c r="D95" s="40">
        <v>46081.0</v>
      </c>
      <c r="E95" s="35" t="s">
        <v>284</v>
      </c>
      <c r="F95" s="35">
        <v>924.0</v>
      </c>
      <c r="G95" s="35" t="s">
        <v>401</v>
      </c>
      <c r="H95" s="35" t="s">
        <v>402</v>
      </c>
      <c r="I95" s="35" t="s">
        <v>236</v>
      </c>
      <c r="J95" s="39">
        <v>7050.0</v>
      </c>
      <c r="K95" s="35">
        <v>0.0</v>
      </c>
      <c r="L95" s="39">
        <f t="shared" si="1"/>
        <v>7050</v>
      </c>
    </row>
    <row r="96" ht="15.75" customHeight="1">
      <c r="A96" s="35" t="s">
        <v>23</v>
      </c>
      <c r="C96" s="35" t="s">
        <v>248</v>
      </c>
      <c r="D96" s="40">
        <v>46081.0</v>
      </c>
      <c r="E96" s="35" t="s">
        <v>284</v>
      </c>
      <c r="F96" s="35">
        <v>937.0</v>
      </c>
      <c r="G96" s="35">
        <v>13134.0</v>
      </c>
      <c r="H96" s="35" t="s">
        <v>403</v>
      </c>
      <c r="I96" s="35" t="s">
        <v>236</v>
      </c>
      <c r="J96" s="39">
        <v>1650.0</v>
      </c>
      <c r="K96" s="35">
        <v>0.0</v>
      </c>
      <c r="L96" s="39">
        <f t="shared" si="1"/>
        <v>1650</v>
      </c>
    </row>
    <row r="97" ht="15.75" customHeight="1">
      <c r="A97" s="35" t="s">
        <v>23</v>
      </c>
      <c r="C97" s="35" t="s">
        <v>248</v>
      </c>
      <c r="D97" s="40">
        <v>46112.0</v>
      </c>
      <c r="E97" s="35" t="s">
        <v>284</v>
      </c>
      <c r="F97" s="35">
        <v>1017.0</v>
      </c>
      <c r="G97" s="35">
        <v>13179.0</v>
      </c>
      <c r="H97" s="35" t="s">
        <v>404</v>
      </c>
      <c r="I97" s="35" t="s">
        <v>236</v>
      </c>
      <c r="J97" s="39">
        <v>1650.0</v>
      </c>
      <c r="K97" s="35">
        <v>0.0</v>
      </c>
      <c r="L97" s="39">
        <f t="shared" si="1"/>
        <v>1650</v>
      </c>
    </row>
    <row r="98" ht="15.75" customHeight="1">
      <c r="A98" s="35" t="s">
        <v>23</v>
      </c>
      <c r="C98" s="35" t="s">
        <v>248</v>
      </c>
      <c r="D98" s="40">
        <v>46112.0</v>
      </c>
      <c r="E98" s="35" t="s">
        <v>284</v>
      </c>
      <c r="F98" s="35">
        <v>1221.0</v>
      </c>
      <c r="G98" s="35" t="s">
        <v>405</v>
      </c>
      <c r="H98" s="35" t="s">
        <v>406</v>
      </c>
      <c r="I98" s="35" t="s">
        <v>236</v>
      </c>
      <c r="J98" s="39">
        <v>7050.0</v>
      </c>
      <c r="K98" s="35">
        <v>0.0</v>
      </c>
      <c r="L98" s="39">
        <f t="shared" si="1"/>
        <v>7050</v>
      </c>
    </row>
    <row r="99" ht="15.75" customHeight="1">
      <c r="A99" s="35" t="s">
        <v>35</v>
      </c>
      <c r="C99" s="35" t="s">
        <v>249</v>
      </c>
      <c r="D99" s="40">
        <v>46073.0</v>
      </c>
      <c r="E99" s="35" t="s">
        <v>284</v>
      </c>
      <c r="F99" s="35">
        <v>680.0</v>
      </c>
      <c r="G99" s="35">
        <v>8917.0</v>
      </c>
      <c r="H99" s="35" t="s">
        <v>407</v>
      </c>
      <c r="I99" s="35" t="s">
        <v>236</v>
      </c>
      <c r="J99" s="35">
        <v>500.0</v>
      </c>
      <c r="K99" s="35">
        <v>0.0</v>
      </c>
      <c r="L99" s="39">
        <f t="shared" si="1"/>
        <v>500</v>
      </c>
    </row>
    <row r="100" ht="15.75" customHeight="1">
      <c r="A100" s="35" t="s">
        <v>250</v>
      </c>
      <c r="C100" s="35" t="s">
        <v>251</v>
      </c>
      <c r="D100" s="40">
        <v>46084.0</v>
      </c>
      <c r="E100" s="35" t="s">
        <v>284</v>
      </c>
      <c r="F100" s="35">
        <v>718.0</v>
      </c>
      <c r="G100" s="35" t="s">
        <v>408</v>
      </c>
      <c r="H100" s="35" t="s">
        <v>409</v>
      </c>
      <c r="I100" s="35" t="s">
        <v>236</v>
      </c>
      <c r="J100" s="39">
        <v>1675.0</v>
      </c>
      <c r="K100" s="35">
        <v>0.0</v>
      </c>
      <c r="L100" s="39">
        <f t="shared" si="1"/>
        <v>1675</v>
      </c>
    </row>
    <row r="101" ht="15.75" customHeight="1">
      <c r="A101" s="35" t="s">
        <v>13</v>
      </c>
      <c r="C101" s="35" t="s">
        <v>252</v>
      </c>
      <c r="D101" s="40">
        <v>46052.0</v>
      </c>
      <c r="E101" s="35" t="s">
        <v>284</v>
      </c>
      <c r="F101" s="35">
        <v>472.0</v>
      </c>
      <c r="G101" s="35" t="s">
        <v>410</v>
      </c>
      <c r="H101" s="35" t="s">
        <v>411</v>
      </c>
      <c r="I101" s="35" t="s">
        <v>236</v>
      </c>
      <c r="J101" s="35">
        <v>200.0</v>
      </c>
      <c r="K101" s="35">
        <v>0.0</v>
      </c>
      <c r="L101" s="39">
        <f t="shared" si="1"/>
        <v>200</v>
      </c>
    </row>
    <row r="102" ht="15.75" customHeight="1">
      <c r="A102" s="35" t="s">
        <v>13</v>
      </c>
      <c r="C102" s="35" t="s">
        <v>252</v>
      </c>
      <c r="D102" s="40">
        <v>46053.0</v>
      </c>
      <c r="E102" s="35" t="s">
        <v>284</v>
      </c>
      <c r="F102" s="35">
        <v>425.0</v>
      </c>
      <c r="G102" s="35" t="s">
        <v>412</v>
      </c>
      <c r="H102" s="35" t="s">
        <v>413</v>
      </c>
      <c r="I102" s="35" t="s">
        <v>236</v>
      </c>
      <c r="J102" s="39">
        <v>19130.0</v>
      </c>
      <c r="K102" s="35">
        <v>0.0</v>
      </c>
      <c r="L102" s="39">
        <f t="shared" si="1"/>
        <v>19130</v>
      </c>
    </row>
    <row r="103" ht="15.75" customHeight="1">
      <c r="A103" s="35" t="s">
        <v>13</v>
      </c>
      <c r="C103" s="35" t="s">
        <v>252</v>
      </c>
      <c r="D103" s="40">
        <v>46081.0</v>
      </c>
      <c r="E103" s="35" t="s">
        <v>284</v>
      </c>
      <c r="F103" s="35">
        <v>963.0</v>
      </c>
      <c r="G103" s="35" t="s">
        <v>414</v>
      </c>
      <c r="H103" s="35" t="s">
        <v>415</v>
      </c>
      <c r="I103" s="35" t="s">
        <v>236</v>
      </c>
      <c r="J103" s="39">
        <v>19130.0</v>
      </c>
      <c r="K103" s="35">
        <v>0.0</v>
      </c>
      <c r="L103" s="39">
        <f t="shared" si="1"/>
        <v>19130</v>
      </c>
    </row>
    <row r="104" ht="15.75" customHeight="1">
      <c r="A104" s="35" t="s">
        <v>13</v>
      </c>
      <c r="C104" s="35" t="s">
        <v>252</v>
      </c>
      <c r="D104" s="40">
        <v>46111.0</v>
      </c>
      <c r="E104" s="35" t="s">
        <v>284</v>
      </c>
      <c r="F104" s="35">
        <v>1219.0</v>
      </c>
      <c r="G104" s="35" t="s">
        <v>416</v>
      </c>
      <c r="H104" s="35" t="s">
        <v>417</v>
      </c>
      <c r="I104" s="35" t="s">
        <v>236</v>
      </c>
      <c r="J104" s="39">
        <v>22726.91</v>
      </c>
      <c r="K104" s="35">
        <v>0.0</v>
      </c>
      <c r="L104" s="39">
        <f t="shared" si="1"/>
        <v>22726.91</v>
      </c>
    </row>
    <row r="105" ht="15.75" customHeight="1">
      <c r="A105" s="35" t="s">
        <v>20</v>
      </c>
      <c r="C105" s="35" t="s">
        <v>253</v>
      </c>
      <c r="D105" s="40">
        <v>46051.0</v>
      </c>
      <c r="E105" s="35" t="s">
        <v>284</v>
      </c>
      <c r="F105" s="35">
        <v>372.0</v>
      </c>
      <c r="G105" s="35" t="s">
        <v>418</v>
      </c>
      <c r="H105" s="35" t="s">
        <v>419</v>
      </c>
      <c r="I105" s="35" t="s">
        <v>236</v>
      </c>
      <c r="J105" s="35">
        <v>600.0</v>
      </c>
      <c r="K105" s="35">
        <v>0.0</v>
      </c>
      <c r="L105" s="39">
        <f t="shared" si="1"/>
        <v>600</v>
      </c>
    </row>
    <row r="106" ht="15.75" customHeight="1">
      <c r="A106" s="35" t="s">
        <v>20</v>
      </c>
      <c r="C106" s="35" t="s">
        <v>253</v>
      </c>
      <c r="D106" s="40">
        <v>46084.0</v>
      </c>
      <c r="E106" s="35" t="s">
        <v>284</v>
      </c>
      <c r="F106" s="35">
        <v>715.0</v>
      </c>
      <c r="G106" s="35" t="s">
        <v>420</v>
      </c>
      <c r="H106" s="35" t="s">
        <v>421</v>
      </c>
      <c r="I106" s="35" t="s">
        <v>236</v>
      </c>
      <c r="J106" s="35">
        <v>600.0</v>
      </c>
      <c r="K106" s="35">
        <v>0.0</v>
      </c>
      <c r="L106" s="39">
        <f t="shared" si="1"/>
        <v>600</v>
      </c>
    </row>
    <row r="107" ht="15.75" customHeight="1">
      <c r="A107" s="35" t="s">
        <v>20</v>
      </c>
      <c r="C107" s="35" t="s">
        <v>253</v>
      </c>
      <c r="D107" s="40">
        <v>46108.0</v>
      </c>
      <c r="E107" s="35" t="s">
        <v>284</v>
      </c>
      <c r="F107" s="35">
        <v>1003.0</v>
      </c>
      <c r="G107" s="35" t="s">
        <v>422</v>
      </c>
      <c r="H107" s="35" t="s">
        <v>423</v>
      </c>
      <c r="I107" s="35" t="s">
        <v>236</v>
      </c>
      <c r="J107" s="35">
        <v>600.0</v>
      </c>
      <c r="K107" s="35">
        <v>0.0</v>
      </c>
      <c r="L107" s="39">
        <f t="shared" si="1"/>
        <v>600</v>
      </c>
    </row>
    <row r="108" ht="15.75" customHeight="1">
      <c r="A108" s="35" t="s">
        <v>117</v>
      </c>
      <c r="C108" s="35" t="s">
        <v>254</v>
      </c>
      <c r="D108" s="40">
        <v>46049.0</v>
      </c>
      <c r="E108" s="35" t="s">
        <v>284</v>
      </c>
      <c r="F108" s="35">
        <v>362.0</v>
      </c>
      <c r="G108" s="35">
        <v>41.0</v>
      </c>
      <c r="H108" s="35" t="s">
        <v>424</v>
      </c>
      <c r="I108" s="35" t="s">
        <v>236</v>
      </c>
      <c r="J108" s="35">
        <v>140.3</v>
      </c>
      <c r="K108" s="35">
        <v>0.0</v>
      </c>
      <c r="L108" s="39">
        <f t="shared" si="1"/>
        <v>140.3</v>
      </c>
    </row>
    <row r="109" ht="15.75" customHeight="1">
      <c r="A109" s="35" t="s">
        <v>117</v>
      </c>
      <c r="C109" s="35" t="s">
        <v>254</v>
      </c>
      <c r="D109" s="40">
        <v>46056.0</v>
      </c>
      <c r="E109" s="35" t="s">
        <v>284</v>
      </c>
      <c r="F109" s="35">
        <v>424.0</v>
      </c>
      <c r="G109" s="35">
        <v>31.0</v>
      </c>
      <c r="H109" s="35" t="s">
        <v>425</v>
      </c>
      <c r="I109" s="35" t="s">
        <v>236</v>
      </c>
      <c r="J109" s="39">
        <v>3000.0</v>
      </c>
      <c r="K109" s="35">
        <v>0.0</v>
      </c>
      <c r="L109" s="39">
        <f t="shared" si="1"/>
        <v>3000</v>
      </c>
    </row>
    <row r="110" ht="15.75" customHeight="1">
      <c r="A110" s="35" t="s">
        <v>170</v>
      </c>
      <c r="C110" s="35" t="s">
        <v>255</v>
      </c>
      <c r="D110" s="40">
        <v>46055.0</v>
      </c>
      <c r="E110" s="35" t="s">
        <v>284</v>
      </c>
      <c r="F110" s="35">
        <v>417.0</v>
      </c>
      <c r="G110" s="35" t="s">
        <v>426</v>
      </c>
      <c r="H110" s="35" t="s">
        <v>427</v>
      </c>
      <c r="I110" s="35" t="s">
        <v>236</v>
      </c>
      <c r="J110" s="35">
        <v>365.62</v>
      </c>
      <c r="K110" s="35">
        <v>0.0</v>
      </c>
      <c r="L110" s="39">
        <f t="shared" si="1"/>
        <v>365.62</v>
      </c>
    </row>
    <row r="111" ht="15.75" customHeight="1">
      <c r="A111" s="35" t="s">
        <v>170</v>
      </c>
      <c r="C111" s="35" t="s">
        <v>255</v>
      </c>
      <c r="D111" s="40">
        <v>46071.0</v>
      </c>
      <c r="E111" s="35" t="s">
        <v>284</v>
      </c>
      <c r="F111" s="35">
        <v>665.0</v>
      </c>
      <c r="G111" s="35" t="s">
        <v>428</v>
      </c>
      <c r="H111" s="35" t="s">
        <v>429</v>
      </c>
      <c r="I111" s="35" t="s">
        <v>236</v>
      </c>
      <c r="J111" s="35">
        <v>27.38</v>
      </c>
      <c r="K111" s="35">
        <v>0.0</v>
      </c>
      <c r="L111" s="39">
        <f t="shared" si="1"/>
        <v>27.38</v>
      </c>
    </row>
    <row r="112" ht="15.75" customHeight="1">
      <c r="A112" s="35" t="s">
        <v>170</v>
      </c>
      <c r="C112" s="35" t="s">
        <v>255</v>
      </c>
      <c r="D112" s="40">
        <v>46072.0</v>
      </c>
      <c r="E112" s="35" t="s">
        <v>284</v>
      </c>
      <c r="F112" s="35">
        <v>673.0</v>
      </c>
      <c r="G112" s="35">
        <v>292.0</v>
      </c>
      <c r="H112" s="35" t="s">
        <v>430</v>
      </c>
      <c r="I112" s="35" t="s">
        <v>236</v>
      </c>
      <c r="J112" s="35">
        <v>900.0</v>
      </c>
      <c r="K112" s="35">
        <v>0.0</v>
      </c>
      <c r="L112" s="39">
        <f t="shared" si="1"/>
        <v>900</v>
      </c>
    </row>
    <row r="113" ht="15.75" customHeight="1">
      <c r="A113" s="35" t="s">
        <v>170</v>
      </c>
      <c r="C113" s="35" t="s">
        <v>255</v>
      </c>
      <c r="D113" s="40">
        <v>46084.0</v>
      </c>
      <c r="E113" s="35" t="s">
        <v>284</v>
      </c>
      <c r="F113" s="35">
        <v>712.0</v>
      </c>
      <c r="G113" s="40">
        <v>46079.0</v>
      </c>
      <c r="H113" s="35" t="s">
        <v>431</v>
      </c>
      <c r="I113" s="35" t="s">
        <v>236</v>
      </c>
      <c r="J113" s="39">
        <v>4500.0</v>
      </c>
      <c r="K113" s="35">
        <v>0.0</v>
      </c>
      <c r="L113" s="39">
        <f t="shared" si="1"/>
        <v>4500</v>
      </c>
    </row>
    <row r="114" ht="15.75" customHeight="1">
      <c r="A114" s="35" t="s">
        <v>170</v>
      </c>
      <c r="C114" s="35" t="s">
        <v>255</v>
      </c>
      <c r="D114" s="40">
        <v>46099.0</v>
      </c>
      <c r="E114" s="35" t="s">
        <v>284</v>
      </c>
      <c r="F114" s="35">
        <v>938.0</v>
      </c>
      <c r="G114" s="35">
        <v>38.0</v>
      </c>
      <c r="H114" s="35" t="s">
        <v>432</v>
      </c>
      <c r="I114" s="35" t="s">
        <v>236</v>
      </c>
      <c r="J114" s="39">
        <v>5200.0</v>
      </c>
      <c r="K114" s="35">
        <v>0.0</v>
      </c>
      <c r="L114" s="39">
        <f t="shared" si="1"/>
        <v>5200</v>
      </c>
    </row>
    <row r="115" ht="15.75" customHeight="1">
      <c r="A115" s="35" t="s">
        <v>150</v>
      </c>
      <c r="C115" s="35" t="s">
        <v>256</v>
      </c>
      <c r="D115" s="40">
        <v>46055.0</v>
      </c>
      <c r="E115" s="35" t="s">
        <v>284</v>
      </c>
      <c r="F115" s="35">
        <v>404.0</v>
      </c>
      <c r="G115" s="35" t="s">
        <v>433</v>
      </c>
      <c r="H115" s="35" t="s">
        <v>434</v>
      </c>
      <c r="I115" s="35" t="s">
        <v>236</v>
      </c>
      <c r="J115" s="35">
        <v>920.22</v>
      </c>
      <c r="K115" s="35">
        <v>0.0</v>
      </c>
      <c r="L115" s="39">
        <f t="shared" si="1"/>
        <v>920.22</v>
      </c>
    </row>
    <row r="116" ht="15.75" customHeight="1">
      <c r="A116" s="35" t="s">
        <v>150</v>
      </c>
      <c r="C116" s="35" t="s">
        <v>256</v>
      </c>
      <c r="D116" s="40">
        <v>46085.0</v>
      </c>
      <c r="E116" s="35" t="s">
        <v>284</v>
      </c>
      <c r="F116" s="35">
        <v>722.0</v>
      </c>
      <c r="G116" s="35" t="s">
        <v>435</v>
      </c>
      <c r="H116" s="35" t="s">
        <v>436</v>
      </c>
      <c r="I116" s="35" t="s">
        <v>236</v>
      </c>
      <c r="J116" s="35">
        <v>69.2</v>
      </c>
      <c r="K116" s="35">
        <v>0.0</v>
      </c>
      <c r="L116" s="39">
        <f t="shared" si="1"/>
        <v>69.2</v>
      </c>
    </row>
    <row r="117" ht="15.75" customHeight="1">
      <c r="A117" s="35" t="s">
        <v>150</v>
      </c>
      <c r="C117" s="35" t="s">
        <v>256</v>
      </c>
      <c r="D117" s="40">
        <v>46097.0</v>
      </c>
      <c r="E117" s="35" t="s">
        <v>284</v>
      </c>
      <c r="F117" s="35">
        <v>931.0</v>
      </c>
      <c r="G117" s="35" t="s">
        <v>437</v>
      </c>
      <c r="H117" s="35" t="s">
        <v>438</v>
      </c>
      <c r="I117" s="35" t="s">
        <v>236</v>
      </c>
      <c r="J117" s="35">
        <v>3.61</v>
      </c>
      <c r="K117" s="35">
        <v>0.0</v>
      </c>
      <c r="L117" s="39">
        <f t="shared" si="1"/>
        <v>3.61</v>
      </c>
    </row>
    <row r="118" ht="15.75" customHeight="1">
      <c r="A118" s="35" t="s">
        <v>132</v>
      </c>
      <c r="C118" s="35" t="s">
        <v>257</v>
      </c>
      <c r="D118" s="40">
        <v>46086.0</v>
      </c>
      <c r="E118" s="35" t="s">
        <v>284</v>
      </c>
      <c r="F118" s="35">
        <v>726.0</v>
      </c>
      <c r="G118" s="35" t="s">
        <v>439</v>
      </c>
      <c r="H118" s="35" t="s">
        <v>440</v>
      </c>
      <c r="I118" s="35" t="s">
        <v>236</v>
      </c>
      <c r="J118" s="39">
        <v>56456.13</v>
      </c>
      <c r="K118" s="35">
        <v>0.0</v>
      </c>
      <c r="L118" s="39">
        <f t="shared" si="1"/>
        <v>56456.13</v>
      </c>
    </row>
    <row r="119" ht="15.75" customHeight="1">
      <c r="A119" s="35" t="s">
        <v>136</v>
      </c>
      <c r="C119" s="35" t="s">
        <v>258</v>
      </c>
      <c r="D119" s="40">
        <v>46053.0</v>
      </c>
      <c r="E119" s="35" t="s">
        <v>284</v>
      </c>
      <c r="F119" s="35">
        <v>470.0</v>
      </c>
      <c r="G119" s="35" t="s">
        <v>441</v>
      </c>
      <c r="H119" s="35" t="s">
        <v>442</v>
      </c>
      <c r="I119" s="35" t="s">
        <v>236</v>
      </c>
      <c r="J119" s="39">
        <v>28148.67</v>
      </c>
      <c r="K119" s="35">
        <v>0.0</v>
      </c>
      <c r="L119" s="39">
        <f t="shared" si="1"/>
        <v>28148.67</v>
      </c>
    </row>
    <row r="120" ht="15.75" customHeight="1">
      <c r="A120" s="35" t="s">
        <v>136</v>
      </c>
      <c r="C120" s="35" t="s">
        <v>258</v>
      </c>
      <c r="D120" s="40">
        <v>46053.0</v>
      </c>
      <c r="E120" s="35" t="s">
        <v>284</v>
      </c>
      <c r="F120" s="35">
        <v>470.0</v>
      </c>
      <c r="G120" s="35" t="s">
        <v>441</v>
      </c>
      <c r="H120" s="35" t="s">
        <v>443</v>
      </c>
      <c r="I120" s="35" t="s">
        <v>236</v>
      </c>
      <c r="J120" s="39">
        <v>41296.13</v>
      </c>
      <c r="K120" s="35">
        <v>0.0</v>
      </c>
      <c r="L120" s="39">
        <f t="shared" si="1"/>
        <v>41296.13</v>
      </c>
    </row>
    <row r="121" ht="15.75" customHeight="1">
      <c r="A121" s="35" t="s">
        <v>136</v>
      </c>
      <c r="C121" s="35" t="s">
        <v>258</v>
      </c>
      <c r="D121" s="40">
        <v>46081.0</v>
      </c>
      <c r="E121" s="35" t="s">
        <v>284</v>
      </c>
      <c r="F121" s="35">
        <v>754.0</v>
      </c>
      <c r="G121" s="35" t="s">
        <v>444</v>
      </c>
      <c r="H121" s="35" t="s">
        <v>445</v>
      </c>
      <c r="I121" s="35" t="s">
        <v>236</v>
      </c>
      <c r="J121" s="39">
        <v>34374.65</v>
      </c>
      <c r="K121" s="35">
        <v>0.0</v>
      </c>
      <c r="L121" s="39">
        <f t="shared" si="1"/>
        <v>34374.65</v>
      </c>
    </row>
    <row r="122" ht="15.75" customHeight="1">
      <c r="A122" s="35" t="s">
        <v>136</v>
      </c>
      <c r="C122" s="35" t="s">
        <v>258</v>
      </c>
      <c r="D122" s="40">
        <v>46081.0</v>
      </c>
      <c r="E122" s="35" t="s">
        <v>284</v>
      </c>
      <c r="F122" s="35">
        <v>754.0</v>
      </c>
      <c r="G122" s="35" t="s">
        <v>444</v>
      </c>
      <c r="H122" s="35" t="s">
        <v>446</v>
      </c>
      <c r="I122" s="35" t="s">
        <v>236</v>
      </c>
      <c r="J122" s="39">
        <v>22785.15</v>
      </c>
      <c r="K122" s="35">
        <v>0.0</v>
      </c>
      <c r="L122" s="39">
        <f t="shared" si="1"/>
        <v>22785.15</v>
      </c>
    </row>
    <row r="123" ht="15.75" customHeight="1">
      <c r="A123" s="35" t="s">
        <v>136</v>
      </c>
      <c r="C123" s="35" t="s">
        <v>258</v>
      </c>
      <c r="D123" s="40">
        <v>46112.0</v>
      </c>
      <c r="E123" s="35" t="s">
        <v>284</v>
      </c>
      <c r="F123" s="35">
        <v>1206.0</v>
      </c>
      <c r="G123" s="35" t="s">
        <v>447</v>
      </c>
      <c r="H123" s="35" t="s">
        <v>448</v>
      </c>
      <c r="I123" s="35" t="s">
        <v>236</v>
      </c>
      <c r="J123" s="39">
        <v>36949.98</v>
      </c>
      <c r="K123" s="35">
        <v>0.0</v>
      </c>
      <c r="L123" s="39">
        <f t="shared" si="1"/>
        <v>36949.98</v>
      </c>
    </row>
    <row r="124" ht="15.75" customHeight="1">
      <c r="A124" s="35" t="s">
        <v>136</v>
      </c>
      <c r="C124" s="35" t="s">
        <v>258</v>
      </c>
      <c r="D124" s="40">
        <v>46112.0</v>
      </c>
      <c r="E124" s="35" t="s">
        <v>284</v>
      </c>
      <c r="F124" s="35">
        <v>1206.0</v>
      </c>
      <c r="G124" s="35" t="s">
        <v>447</v>
      </c>
      <c r="H124" s="35" t="s">
        <v>449</v>
      </c>
      <c r="I124" s="35" t="s">
        <v>236</v>
      </c>
      <c r="J124" s="39">
        <v>22336.21</v>
      </c>
      <c r="K124" s="35">
        <v>0.0</v>
      </c>
      <c r="L124" s="39">
        <f t="shared" si="1"/>
        <v>22336.21</v>
      </c>
    </row>
    <row r="125" ht="15.75" customHeight="1">
      <c r="A125" s="35" t="s">
        <v>138</v>
      </c>
      <c r="C125" s="35" t="s">
        <v>259</v>
      </c>
      <c r="D125" s="40">
        <v>46053.0</v>
      </c>
      <c r="E125" s="35" t="s">
        <v>284</v>
      </c>
      <c r="F125" s="35">
        <v>470.0</v>
      </c>
      <c r="G125" s="35" t="s">
        <v>441</v>
      </c>
      <c r="H125" s="35" t="s">
        <v>450</v>
      </c>
      <c r="I125" s="35" t="s">
        <v>236</v>
      </c>
      <c r="J125" s="39">
        <v>10574.84</v>
      </c>
      <c r="K125" s="35">
        <v>0.0</v>
      </c>
      <c r="L125" s="39">
        <f t="shared" si="1"/>
        <v>10574.84</v>
      </c>
    </row>
    <row r="126" ht="15.75" customHeight="1">
      <c r="A126" s="35" t="s">
        <v>138</v>
      </c>
      <c r="C126" s="35" t="s">
        <v>259</v>
      </c>
      <c r="D126" s="40">
        <v>46081.0</v>
      </c>
      <c r="E126" s="35" t="s">
        <v>284</v>
      </c>
      <c r="F126" s="35">
        <v>754.0</v>
      </c>
      <c r="G126" s="35" t="s">
        <v>444</v>
      </c>
      <c r="H126" s="35" t="s">
        <v>451</v>
      </c>
      <c r="I126" s="35" t="s">
        <v>236</v>
      </c>
      <c r="J126" s="39">
        <v>8101.34</v>
      </c>
      <c r="K126" s="35">
        <v>0.0</v>
      </c>
      <c r="L126" s="39">
        <f t="shared" si="1"/>
        <v>8101.34</v>
      </c>
    </row>
    <row r="127" ht="15.75" customHeight="1">
      <c r="A127" s="35" t="s">
        <v>138</v>
      </c>
      <c r="C127" s="35" t="s">
        <v>259</v>
      </c>
      <c r="D127" s="40">
        <v>46112.0</v>
      </c>
      <c r="E127" s="35" t="s">
        <v>284</v>
      </c>
      <c r="F127" s="35">
        <v>1206.0</v>
      </c>
      <c r="G127" s="35" t="s">
        <v>447</v>
      </c>
      <c r="H127" s="35" t="s">
        <v>452</v>
      </c>
      <c r="I127" s="35" t="s">
        <v>236</v>
      </c>
      <c r="J127" s="39">
        <v>17129.76</v>
      </c>
      <c r="K127" s="35">
        <v>0.0</v>
      </c>
      <c r="L127" s="39">
        <f t="shared" si="1"/>
        <v>17129.76</v>
      </c>
    </row>
    <row r="128" ht="15.75" customHeight="1">
      <c r="A128" s="35" t="s">
        <v>147</v>
      </c>
      <c r="C128" s="35" t="s">
        <v>260</v>
      </c>
      <c r="D128" s="40">
        <v>46053.0</v>
      </c>
      <c r="E128" s="35" t="s">
        <v>284</v>
      </c>
      <c r="F128" s="35">
        <v>444.0</v>
      </c>
      <c r="G128" s="35">
        <v>500830.0</v>
      </c>
      <c r="H128" s="35" t="s">
        <v>453</v>
      </c>
      <c r="I128" s="35" t="s">
        <v>236</v>
      </c>
      <c r="J128" s="39">
        <v>6490.0</v>
      </c>
      <c r="K128" s="35">
        <v>0.0</v>
      </c>
      <c r="L128" s="39">
        <f t="shared" si="1"/>
        <v>6490</v>
      </c>
    </row>
    <row r="129" ht="15.75" customHeight="1">
      <c r="A129" s="35" t="s">
        <v>147</v>
      </c>
      <c r="C129" s="35" t="s">
        <v>260</v>
      </c>
      <c r="D129" s="40">
        <v>46081.0</v>
      </c>
      <c r="E129" s="35" t="s">
        <v>284</v>
      </c>
      <c r="F129" s="35">
        <v>746.0</v>
      </c>
      <c r="G129" s="35">
        <v>500874.0</v>
      </c>
      <c r="H129" s="35" t="s">
        <v>454</v>
      </c>
      <c r="I129" s="35" t="s">
        <v>236</v>
      </c>
      <c r="J129" s="39">
        <v>6160.0</v>
      </c>
      <c r="K129" s="35">
        <v>0.0</v>
      </c>
      <c r="L129" s="39">
        <f t="shared" si="1"/>
        <v>6160</v>
      </c>
    </row>
    <row r="130" ht="15.75" customHeight="1">
      <c r="A130" s="35" t="s">
        <v>147</v>
      </c>
      <c r="C130" s="35" t="s">
        <v>260</v>
      </c>
      <c r="D130" s="40">
        <v>46112.0</v>
      </c>
      <c r="E130" s="35" t="s">
        <v>284</v>
      </c>
      <c r="F130" s="35">
        <v>1028.0</v>
      </c>
      <c r="G130" s="35">
        <v>500888.0</v>
      </c>
      <c r="H130" s="35" t="s">
        <v>455</v>
      </c>
      <c r="I130" s="35" t="s">
        <v>236</v>
      </c>
      <c r="J130" s="39">
        <v>10780.0</v>
      </c>
      <c r="K130" s="35">
        <v>0.0</v>
      </c>
      <c r="L130" s="39">
        <f t="shared" si="1"/>
        <v>10780</v>
      </c>
    </row>
    <row r="131" ht="15.75" customHeight="1">
      <c r="A131" s="35" t="s">
        <v>164</v>
      </c>
      <c r="C131" s="35" t="s">
        <v>261</v>
      </c>
      <c r="D131" s="40">
        <v>46049.0</v>
      </c>
      <c r="E131" s="35" t="s">
        <v>284</v>
      </c>
      <c r="F131" s="35">
        <v>361.0</v>
      </c>
      <c r="G131" s="35">
        <v>12633.0</v>
      </c>
      <c r="H131" s="35" t="s">
        <v>456</v>
      </c>
      <c r="I131" s="35" t="s">
        <v>236</v>
      </c>
      <c r="J131" s="35">
        <v>450.0</v>
      </c>
      <c r="K131" s="35">
        <v>0.0</v>
      </c>
      <c r="L131" s="39">
        <f t="shared" si="1"/>
        <v>450</v>
      </c>
    </row>
    <row r="132" ht="15.75" customHeight="1">
      <c r="A132" s="35" t="s">
        <v>164</v>
      </c>
      <c r="C132" s="35" t="s">
        <v>261</v>
      </c>
      <c r="D132" s="40">
        <v>46055.0</v>
      </c>
      <c r="E132" s="35" t="s">
        <v>284</v>
      </c>
      <c r="F132" s="35">
        <v>400.0</v>
      </c>
      <c r="G132" s="35">
        <v>425.0</v>
      </c>
      <c r="H132" s="35" t="s">
        <v>457</v>
      </c>
      <c r="I132" s="35" t="s">
        <v>236</v>
      </c>
      <c r="J132" s="35">
        <v>629.0</v>
      </c>
      <c r="K132" s="35">
        <v>0.0</v>
      </c>
      <c r="L132" s="39">
        <f t="shared" si="1"/>
        <v>629</v>
      </c>
    </row>
    <row r="133" ht="15.75" customHeight="1">
      <c r="A133" s="35" t="s">
        <v>164</v>
      </c>
      <c r="C133" s="35" t="s">
        <v>261</v>
      </c>
      <c r="D133" s="40">
        <v>46079.0</v>
      </c>
      <c r="E133" s="35" t="s">
        <v>284</v>
      </c>
      <c r="F133" s="35">
        <v>701.0</v>
      </c>
      <c r="G133" s="35">
        <v>12899.0</v>
      </c>
      <c r="H133" s="35" t="s">
        <v>458</v>
      </c>
      <c r="I133" s="35" t="s">
        <v>236</v>
      </c>
      <c r="J133" s="35">
        <v>450.0</v>
      </c>
      <c r="K133" s="35">
        <v>0.0</v>
      </c>
      <c r="L133" s="39">
        <f t="shared" si="1"/>
        <v>450</v>
      </c>
    </row>
    <row r="134" ht="15.75" customHeight="1">
      <c r="A134" s="35" t="s">
        <v>164</v>
      </c>
      <c r="C134" s="35" t="s">
        <v>261</v>
      </c>
      <c r="D134" s="40">
        <v>46111.0</v>
      </c>
      <c r="E134" s="35" t="s">
        <v>284</v>
      </c>
      <c r="F134" s="35">
        <v>1218.0</v>
      </c>
      <c r="G134" s="35">
        <v>13167.0</v>
      </c>
      <c r="H134" s="35" t="s">
        <v>459</v>
      </c>
      <c r="I134" s="35" t="s">
        <v>236</v>
      </c>
      <c r="J134" s="35">
        <v>450.0</v>
      </c>
      <c r="K134" s="35">
        <v>0.0</v>
      </c>
      <c r="L134" s="39">
        <f t="shared" si="1"/>
        <v>450</v>
      </c>
    </row>
    <row r="135" ht="15.75" customHeight="1">
      <c r="A135" s="35" t="s">
        <v>98</v>
      </c>
      <c r="C135" s="35" t="s">
        <v>262</v>
      </c>
      <c r="D135" s="40">
        <v>46051.0</v>
      </c>
      <c r="E135" s="35" t="s">
        <v>284</v>
      </c>
      <c r="F135" s="35">
        <v>386.0</v>
      </c>
      <c r="G135" s="35" t="s">
        <v>288</v>
      </c>
      <c r="H135" s="35" t="s">
        <v>289</v>
      </c>
      <c r="I135" s="35" t="s">
        <v>236</v>
      </c>
      <c r="J135" s="35">
        <v>52.25</v>
      </c>
      <c r="K135" s="35">
        <v>0.0</v>
      </c>
      <c r="L135" s="39">
        <f t="shared" si="1"/>
        <v>52.25</v>
      </c>
    </row>
    <row r="136" ht="15.75" customHeight="1">
      <c r="A136" s="35" t="s">
        <v>98</v>
      </c>
      <c r="C136" s="35" t="s">
        <v>262</v>
      </c>
      <c r="D136" s="40">
        <v>46051.0</v>
      </c>
      <c r="E136" s="35" t="s">
        <v>284</v>
      </c>
      <c r="F136" s="35">
        <v>387.0</v>
      </c>
      <c r="G136" s="35" t="s">
        <v>290</v>
      </c>
      <c r="H136" s="35" t="s">
        <v>291</v>
      </c>
      <c r="I136" s="35" t="s">
        <v>236</v>
      </c>
      <c r="J136" s="35">
        <v>126.5</v>
      </c>
      <c r="K136" s="35">
        <v>0.0</v>
      </c>
      <c r="L136" s="39">
        <f t="shared" si="1"/>
        <v>126.5</v>
      </c>
    </row>
    <row r="137" ht="15.75" customHeight="1">
      <c r="A137" s="35" t="s">
        <v>98</v>
      </c>
      <c r="C137" s="35" t="s">
        <v>262</v>
      </c>
      <c r="D137" s="40">
        <v>46086.0</v>
      </c>
      <c r="E137" s="35" t="s">
        <v>284</v>
      </c>
      <c r="F137" s="35">
        <v>723.0</v>
      </c>
      <c r="G137" s="35" t="s">
        <v>292</v>
      </c>
      <c r="H137" s="35" t="s">
        <v>293</v>
      </c>
      <c r="I137" s="35" t="s">
        <v>236</v>
      </c>
      <c r="J137" s="35">
        <v>132.0</v>
      </c>
      <c r="K137" s="35">
        <v>0.0</v>
      </c>
      <c r="L137" s="39">
        <f t="shared" si="1"/>
        <v>132</v>
      </c>
    </row>
    <row r="138" ht="15.75" customHeight="1">
      <c r="A138" s="35" t="s">
        <v>89</v>
      </c>
      <c r="C138" s="35" t="s">
        <v>263</v>
      </c>
      <c r="D138" s="40">
        <v>46077.0</v>
      </c>
      <c r="E138" s="35" t="s">
        <v>284</v>
      </c>
      <c r="F138" s="35">
        <v>689.0</v>
      </c>
      <c r="G138" s="35" t="s">
        <v>299</v>
      </c>
      <c r="H138" s="35" t="s">
        <v>300</v>
      </c>
      <c r="I138" s="35" t="s">
        <v>236</v>
      </c>
      <c r="J138" s="35">
        <v>187.51</v>
      </c>
      <c r="K138" s="35">
        <v>0.0</v>
      </c>
      <c r="L138" s="39">
        <f t="shared" si="1"/>
        <v>187.51</v>
      </c>
    </row>
    <row r="139" ht="15.75" customHeight="1">
      <c r="A139" s="35" t="s">
        <v>89</v>
      </c>
      <c r="C139" s="35" t="s">
        <v>263</v>
      </c>
      <c r="D139" s="40">
        <v>46090.0</v>
      </c>
      <c r="E139" s="35" t="s">
        <v>284</v>
      </c>
      <c r="F139" s="35">
        <v>731.0</v>
      </c>
      <c r="G139" s="35" t="s">
        <v>301</v>
      </c>
      <c r="H139" s="35" t="s">
        <v>302</v>
      </c>
      <c r="I139" s="35" t="s">
        <v>236</v>
      </c>
      <c r="J139" s="35">
        <v>8.66</v>
      </c>
      <c r="K139" s="35">
        <v>0.0</v>
      </c>
      <c r="L139" s="39">
        <f t="shared" si="1"/>
        <v>8.66</v>
      </c>
    </row>
    <row r="140" ht="15.75" customHeight="1">
      <c r="A140" s="35" t="s">
        <v>112</v>
      </c>
      <c r="C140" s="35" t="s">
        <v>264</v>
      </c>
      <c r="D140" s="40">
        <v>46041.0</v>
      </c>
      <c r="E140" s="35" t="s">
        <v>284</v>
      </c>
      <c r="F140" s="35">
        <v>323.0</v>
      </c>
      <c r="G140" s="35" t="s">
        <v>312</v>
      </c>
      <c r="H140" s="35" t="s">
        <v>313</v>
      </c>
      <c r="I140" s="35" t="s">
        <v>236</v>
      </c>
      <c r="J140" s="35">
        <v>4.36</v>
      </c>
      <c r="K140" s="35">
        <v>0.0</v>
      </c>
      <c r="L140" s="39">
        <f t="shared" si="1"/>
        <v>4.36</v>
      </c>
    </row>
    <row r="141" ht="15.75" customHeight="1">
      <c r="A141" s="35" t="s">
        <v>112</v>
      </c>
      <c r="C141" s="35" t="s">
        <v>264</v>
      </c>
      <c r="D141" s="40">
        <v>46055.0</v>
      </c>
      <c r="E141" s="35" t="s">
        <v>284</v>
      </c>
      <c r="F141" s="35">
        <v>414.0</v>
      </c>
      <c r="G141" s="35" t="s">
        <v>323</v>
      </c>
      <c r="H141" s="35" t="s">
        <v>324</v>
      </c>
      <c r="I141" s="35" t="s">
        <v>236</v>
      </c>
      <c r="J141" s="35">
        <v>4.36</v>
      </c>
      <c r="K141" s="35">
        <v>0.0</v>
      </c>
      <c r="L141" s="39">
        <f t="shared" si="1"/>
        <v>4.36</v>
      </c>
    </row>
    <row r="142" ht="15.75" customHeight="1">
      <c r="A142" s="35" t="s">
        <v>112</v>
      </c>
      <c r="C142" s="35" t="s">
        <v>264</v>
      </c>
      <c r="D142" s="40">
        <v>46055.0</v>
      </c>
      <c r="E142" s="35" t="s">
        <v>284</v>
      </c>
      <c r="F142" s="35">
        <v>415.0</v>
      </c>
      <c r="G142" s="35" t="s">
        <v>325</v>
      </c>
      <c r="H142" s="35" t="s">
        <v>326</v>
      </c>
      <c r="I142" s="35" t="s">
        <v>236</v>
      </c>
      <c r="J142" s="35">
        <v>5.55</v>
      </c>
      <c r="K142" s="35">
        <v>0.0</v>
      </c>
      <c r="L142" s="39">
        <f t="shared" si="1"/>
        <v>5.55</v>
      </c>
    </row>
    <row r="143" ht="15.75" customHeight="1">
      <c r="A143" s="35" t="s">
        <v>112</v>
      </c>
      <c r="C143" s="35" t="s">
        <v>264</v>
      </c>
      <c r="D143" s="40">
        <v>46071.0</v>
      </c>
      <c r="E143" s="35" t="s">
        <v>284</v>
      </c>
      <c r="F143" s="35">
        <v>667.0</v>
      </c>
      <c r="G143" s="35">
        <v>1003688.0</v>
      </c>
      <c r="H143" s="35" t="s">
        <v>354</v>
      </c>
      <c r="I143" s="35" t="s">
        <v>236</v>
      </c>
      <c r="J143" s="35">
        <v>20.77</v>
      </c>
      <c r="K143" s="35">
        <v>0.0</v>
      </c>
      <c r="L143" s="39">
        <f t="shared" si="1"/>
        <v>20.77</v>
      </c>
    </row>
    <row r="144" ht="15.75" customHeight="1">
      <c r="A144" s="35" t="s">
        <v>112</v>
      </c>
      <c r="C144" s="35" t="s">
        <v>264</v>
      </c>
      <c r="D144" s="40">
        <v>46071.0</v>
      </c>
      <c r="E144" s="35" t="s">
        <v>284</v>
      </c>
      <c r="F144" s="35">
        <v>669.0</v>
      </c>
      <c r="G144" s="35" t="s">
        <v>357</v>
      </c>
      <c r="H144" s="35" t="s">
        <v>358</v>
      </c>
      <c r="I144" s="35" t="s">
        <v>236</v>
      </c>
      <c r="J144" s="35">
        <v>5.15</v>
      </c>
      <c r="K144" s="35">
        <v>0.0</v>
      </c>
      <c r="L144" s="39">
        <f t="shared" si="1"/>
        <v>5.15</v>
      </c>
    </row>
    <row r="145" ht="15.75" customHeight="1">
      <c r="A145" s="35" t="s">
        <v>112</v>
      </c>
      <c r="C145" s="35" t="s">
        <v>264</v>
      </c>
      <c r="D145" s="40">
        <v>46079.0</v>
      </c>
      <c r="E145" s="35" t="s">
        <v>284</v>
      </c>
      <c r="F145" s="35">
        <v>695.0</v>
      </c>
      <c r="G145" s="35">
        <v>90.0</v>
      </c>
      <c r="H145" s="35" t="s">
        <v>359</v>
      </c>
      <c r="I145" s="35" t="s">
        <v>236</v>
      </c>
      <c r="J145" s="35">
        <v>20.91</v>
      </c>
      <c r="K145" s="35">
        <v>0.0</v>
      </c>
      <c r="L145" s="39">
        <f t="shared" si="1"/>
        <v>20.91</v>
      </c>
    </row>
    <row r="146" ht="15.75" customHeight="1">
      <c r="A146" s="35" t="s">
        <v>112</v>
      </c>
      <c r="C146" s="35" t="s">
        <v>264</v>
      </c>
      <c r="D146" s="40">
        <v>46079.0</v>
      </c>
      <c r="E146" s="35" t="s">
        <v>284</v>
      </c>
      <c r="F146" s="35">
        <v>697.0</v>
      </c>
      <c r="G146" s="35">
        <v>148.0</v>
      </c>
      <c r="H146" s="35" t="s">
        <v>360</v>
      </c>
      <c r="I146" s="35" t="s">
        <v>236</v>
      </c>
      <c r="J146" s="35">
        <v>67.59</v>
      </c>
      <c r="K146" s="35">
        <v>0.0</v>
      </c>
      <c r="L146" s="39">
        <f t="shared" si="1"/>
        <v>67.59</v>
      </c>
    </row>
    <row r="147" ht="15.75" customHeight="1">
      <c r="A147" s="35" t="s">
        <v>112</v>
      </c>
      <c r="C147" s="35" t="s">
        <v>264</v>
      </c>
      <c r="D147" s="40">
        <v>46079.0</v>
      </c>
      <c r="E147" s="35" t="s">
        <v>284</v>
      </c>
      <c r="F147" s="35">
        <v>698.0</v>
      </c>
      <c r="G147" s="35">
        <v>119.0</v>
      </c>
      <c r="H147" s="35" t="s">
        <v>361</v>
      </c>
      <c r="I147" s="35" t="s">
        <v>236</v>
      </c>
      <c r="J147" s="35">
        <v>12.65</v>
      </c>
      <c r="K147" s="35">
        <v>0.0</v>
      </c>
      <c r="L147" s="39">
        <f t="shared" si="1"/>
        <v>12.65</v>
      </c>
    </row>
    <row r="148" ht="15.75" customHeight="1">
      <c r="A148" s="35" t="s">
        <v>112</v>
      </c>
      <c r="C148" s="35" t="s">
        <v>264</v>
      </c>
      <c r="D148" s="40">
        <v>46107.0</v>
      </c>
      <c r="E148" s="35" t="s">
        <v>284</v>
      </c>
      <c r="F148" s="35">
        <v>980.0</v>
      </c>
      <c r="G148" s="35" t="s">
        <v>369</v>
      </c>
      <c r="H148" s="35" t="s">
        <v>370</v>
      </c>
      <c r="I148" s="35" t="s">
        <v>236</v>
      </c>
      <c r="J148" s="35">
        <v>4.76</v>
      </c>
      <c r="K148" s="35">
        <v>0.0</v>
      </c>
      <c r="L148" s="39">
        <f t="shared" si="1"/>
        <v>4.76</v>
      </c>
    </row>
    <row r="149" ht="15.75" customHeight="1">
      <c r="A149" s="35" t="s">
        <v>112</v>
      </c>
      <c r="C149" s="35" t="s">
        <v>264</v>
      </c>
      <c r="D149" s="40">
        <v>46107.0</v>
      </c>
      <c r="E149" s="35" t="s">
        <v>284</v>
      </c>
      <c r="F149" s="35">
        <v>981.0</v>
      </c>
      <c r="G149" s="35" t="s">
        <v>371</v>
      </c>
      <c r="H149" s="35" t="s">
        <v>372</v>
      </c>
      <c r="I149" s="35" t="s">
        <v>236</v>
      </c>
      <c r="J149" s="35">
        <v>4.36</v>
      </c>
      <c r="K149" s="35">
        <v>0.0</v>
      </c>
      <c r="L149" s="39">
        <f t="shared" si="1"/>
        <v>4.36</v>
      </c>
    </row>
    <row r="150" ht="15.75" customHeight="1">
      <c r="A150" s="35" t="s">
        <v>112</v>
      </c>
      <c r="C150" s="35" t="s">
        <v>264</v>
      </c>
      <c r="D150" s="40">
        <v>46107.0</v>
      </c>
      <c r="E150" s="35" t="s">
        <v>284</v>
      </c>
      <c r="F150" s="35">
        <v>982.0</v>
      </c>
      <c r="G150" s="35" t="s">
        <v>373</v>
      </c>
      <c r="H150" s="35" t="s">
        <v>374</v>
      </c>
      <c r="I150" s="35" t="s">
        <v>236</v>
      </c>
      <c r="J150" s="35">
        <v>5.75</v>
      </c>
      <c r="K150" s="35">
        <v>0.0</v>
      </c>
      <c r="L150" s="39">
        <f t="shared" si="1"/>
        <v>5.75</v>
      </c>
    </row>
    <row r="151" ht="15.75" customHeight="1">
      <c r="A151" s="35" t="s">
        <v>112</v>
      </c>
      <c r="C151" s="35" t="s">
        <v>264</v>
      </c>
      <c r="D151" s="40">
        <v>46107.0</v>
      </c>
      <c r="E151" s="35" t="s">
        <v>284</v>
      </c>
      <c r="F151" s="35">
        <v>983.0</v>
      </c>
      <c r="G151" s="35" t="s">
        <v>375</v>
      </c>
      <c r="H151" s="35" t="s">
        <v>376</v>
      </c>
      <c r="I151" s="35" t="s">
        <v>236</v>
      </c>
      <c r="J151" s="35">
        <v>4.76</v>
      </c>
      <c r="K151" s="35">
        <v>0.0</v>
      </c>
      <c r="L151" s="39">
        <f t="shared" si="1"/>
        <v>4.76</v>
      </c>
    </row>
    <row r="152" ht="15.75" customHeight="1">
      <c r="A152" s="35" t="s">
        <v>112</v>
      </c>
      <c r="C152" s="35" t="s">
        <v>264</v>
      </c>
      <c r="D152" s="40">
        <v>46108.0</v>
      </c>
      <c r="E152" s="35" t="s">
        <v>284</v>
      </c>
      <c r="F152" s="35">
        <v>999.0</v>
      </c>
      <c r="G152" s="35">
        <v>294.0</v>
      </c>
      <c r="H152" s="35" t="s">
        <v>391</v>
      </c>
      <c r="I152" s="35" t="s">
        <v>236</v>
      </c>
      <c r="J152" s="35">
        <v>49.17</v>
      </c>
      <c r="K152" s="35">
        <v>0.0</v>
      </c>
      <c r="L152" s="39">
        <f t="shared" si="1"/>
        <v>49.17</v>
      </c>
    </row>
    <row r="153" ht="15.75" customHeight="1">
      <c r="A153" s="35" t="s">
        <v>112</v>
      </c>
      <c r="C153" s="35" t="s">
        <v>264</v>
      </c>
      <c r="D153" s="40">
        <v>46108.0</v>
      </c>
      <c r="E153" s="35" t="s">
        <v>284</v>
      </c>
      <c r="F153" s="35">
        <v>1000.0</v>
      </c>
      <c r="G153" s="35">
        <v>252.0</v>
      </c>
      <c r="H153" s="35" t="s">
        <v>392</v>
      </c>
      <c r="I153" s="35" t="s">
        <v>236</v>
      </c>
      <c r="J153" s="35">
        <v>7.7</v>
      </c>
      <c r="K153" s="35">
        <v>0.0</v>
      </c>
      <c r="L153" s="39">
        <f t="shared" si="1"/>
        <v>7.7</v>
      </c>
    </row>
    <row r="154" ht="15.75" customHeight="1">
      <c r="A154" s="35" t="s">
        <v>112</v>
      </c>
      <c r="C154" s="35" t="s">
        <v>264</v>
      </c>
      <c r="D154" s="40">
        <v>46108.0</v>
      </c>
      <c r="E154" s="35" t="s">
        <v>284</v>
      </c>
      <c r="F154" s="35">
        <v>1001.0</v>
      </c>
      <c r="G154" s="35">
        <v>300.0</v>
      </c>
      <c r="H154" s="35" t="s">
        <v>393</v>
      </c>
      <c r="I154" s="35" t="s">
        <v>236</v>
      </c>
      <c r="J154" s="35">
        <v>4.62</v>
      </c>
      <c r="K154" s="35">
        <v>0.0</v>
      </c>
      <c r="L154" s="39">
        <f t="shared" si="1"/>
        <v>4.62</v>
      </c>
    </row>
    <row r="155" ht="15.75" customHeight="1">
      <c r="A155" s="35" t="s">
        <v>8</v>
      </c>
      <c r="C155" s="35" t="s">
        <v>265</v>
      </c>
      <c r="D155" s="40">
        <v>46044.0</v>
      </c>
      <c r="E155" s="35" t="s">
        <v>284</v>
      </c>
      <c r="F155" s="35">
        <v>344.0</v>
      </c>
      <c r="G155" s="35" t="s">
        <v>394</v>
      </c>
      <c r="H155" s="35" t="s">
        <v>395</v>
      </c>
      <c r="I155" s="35" t="s">
        <v>236</v>
      </c>
      <c r="J155" s="39">
        <v>4372.5</v>
      </c>
      <c r="K155" s="35">
        <v>0.0</v>
      </c>
      <c r="L155" s="39">
        <f t="shared" si="1"/>
        <v>4372.5</v>
      </c>
    </row>
    <row r="156" ht="15.75" customHeight="1">
      <c r="A156" s="35" t="s">
        <v>11</v>
      </c>
      <c r="C156" s="35" t="s">
        <v>266</v>
      </c>
      <c r="D156" s="40">
        <v>46044.0</v>
      </c>
      <c r="E156" s="35" t="s">
        <v>284</v>
      </c>
      <c r="F156" s="35">
        <v>343.0</v>
      </c>
      <c r="G156" s="35" t="s">
        <v>396</v>
      </c>
      <c r="H156" s="35" t="s">
        <v>397</v>
      </c>
      <c r="I156" s="35" t="s">
        <v>236</v>
      </c>
      <c r="J156" s="39">
        <v>2200.0</v>
      </c>
      <c r="K156" s="35">
        <v>0.0</v>
      </c>
      <c r="L156" s="39">
        <f t="shared" si="1"/>
        <v>2200</v>
      </c>
    </row>
    <row r="157" ht="15.75" customHeight="1">
      <c r="A157" s="35" t="s">
        <v>24</v>
      </c>
      <c r="C157" s="35" t="s">
        <v>267</v>
      </c>
      <c r="D157" s="40">
        <v>46053.0</v>
      </c>
      <c r="E157" s="35" t="s">
        <v>284</v>
      </c>
      <c r="F157" s="35">
        <v>681.0</v>
      </c>
      <c r="G157" s="35" t="s">
        <v>399</v>
      </c>
      <c r="H157" s="35" t="s">
        <v>400</v>
      </c>
      <c r="I157" s="35" t="s">
        <v>236</v>
      </c>
      <c r="J157" s="35">
        <v>775.5</v>
      </c>
      <c r="K157" s="35">
        <v>0.0</v>
      </c>
      <c r="L157" s="39">
        <f t="shared" si="1"/>
        <v>775.5</v>
      </c>
    </row>
    <row r="158" ht="15.75" customHeight="1">
      <c r="A158" s="35" t="s">
        <v>24</v>
      </c>
      <c r="C158" s="35" t="s">
        <v>267</v>
      </c>
      <c r="D158" s="40">
        <v>46053.0</v>
      </c>
      <c r="E158" s="35" t="s">
        <v>284</v>
      </c>
      <c r="F158" s="35">
        <v>650.0</v>
      </c>
      <c r="G158" s="35">
        <v>13088.0</v>
      </c>
      <c r="H158" s="35" t="s">
        <v>398</v>
      </c>
      <c r="I158" s="35" t="s">
        <v>236</v>
      </c>
      <c r="J158" s="35">
        <v>181.5</v>
      </c>
      <c r="K158" s="35">
        <v>0.0</v>
      </c>
      <c r="L158" s="39">
        <f t="shared" si="1"/>
        <v>181.5</v>
      </c>
    </row>
    <row r="159" ht="15.75" customHeight="1">
      <c r="A159" s="35" t="s">
        <v>24</v>
      </c>
      <c r="C159" s="35" t="s">
        <v>267</v>
      </c>
      <c r="D159" s="40">
        <v>46081.0</v>
      </c>
      <c r="E159" s="35" t="s">
        <v>284</v>
      </c>
      <c r="F159" s="35">
        <v>924.0</v>
      </c>
      <c r="G159" s="35" t="s">
        <v>401</v>
      </c>
      <c r="H159" s="35" t="s">
        <v>402</v>
      </c>
      <c r="I159" s="35" t="s">
        <v>236</v>
      </c>
      <c r="J159" s="35">
        <v>775.5</v>
      </c>
      <c r="K159" s="35">
        <v>0.0</v>
      </c>
      <c r="L159" s="39">
        <f t="shared" si="1"/>
        <v>775.5</v>
      </c>
    </row>
    <row r="160" ht="15.75" customHeight="1">
      <c r="A160" s="35" t="s">
        <v>24</v>
      </c>
      <c r="C160" s="35" t="s">
        <v>267</v>
      </c>
      <c r="D160" s="40">
        <v>46081.0</v>
      </c>
      <c r="E160" s="35" t="s">
        <v>284</v>
      </c>
      <c r="F160" s="35">
        <v>937.0</v>
      </c>
      <c r="G160" s="35">
        <v>13134.0</v>
      </c>
      <c r="H160" s="35" t="s">
        <v>403</v>
      </c>
      <c r="I160" s="35" t="s">
        <v>236</v>
      </c>
      <c r="J160" s="35">
        <v>181.5</v>
      </c>
      <c r="K160" s="35">
        <v>0.0</v>
      </c>
      <c r="L160" s="39">
        <f t="shared" si="1"/>
        <v>181.5</v>
      </c>
    </row>
    <row r="161" ht="15.75" customHeight="1">
      <c r="A161" s="35" t="s">
        <v>24</v>
      </c>
      <c r="C161" s="35" t="s">
        <v>267</v>
      </c>
      <c r="D161" s="40">
        <v>46112.0</v>
      </c>
      <c r="E161" s="35" t="s">
        <v>284</v>
      </c>
      <c r="F161" s="35">
        <v>1017.0</v>
      </c>
      <c r="G161" s="35">
        <v>13179.0</v>
      </c>
      <c r="H161" s="35" t="s">
        <v>404</v>
      </c>
      <c r="I161" s="35" t="s">
        <v>236</v>
      </c>
      <c r="J161" s="35">
        <v>181.5</v>
      </c>
      <c r="K161" s="35">
        <v>0.0</v>
      </c>
      <c r="L161" s="39">
        <f t="shared" si="1"/>
        <v>181.5</v>
      </c>
    </row>
    <row r="162" ht="15.75" customHeight="1">
      <c r="A162" s="35" t="s">
        <v>24</v>
      </c>
      <c r="C162" s="35" t="s">
        <v>267</v>
      </c>
      <c r="D162" s="40">
        <v>46112.0</v>
      </c>
      <c r="E162" s="35" t="s">
        <v>284</v>
      </c>
      <c r="F162" s="35">
        <v>1221.0</v>
      </c>
      <c r="G162" s="35" t="s">
        <v>405</v>
      </c>
      <c r="H162" s="35" t="s">
        <v>406</v>
      </c>
      <c r="I162" s="35" t="s">
        <v>236</v>
      </c>
      <c r="J162" s="35">
        <v>775.5</v>
      </c>
      <c r="K162" s="35">
        <v>0.0</v>
      </c>
      <c r="L162" s="39">
        <f t="shared" si="1"/>
        <v>775.5</v>
      </c>
    </row>
    <row r="163" ht="15.75" customHeight="1">
      <c r="A163" s="35" t="s">
        <v>268</v>
      </c>
      <c r="C163" s="35" t="s">
        <v>269</v>
      </c>
      <c r="D163" s="40">
        <v>46084.0</v>
      </c>
      <c r="E163" s="35" t="s">
        <v>284</v>
      </c>
      <c r="F163" s="35">
        <v>718.0</v>
      </c>
      <c r="G163" s="35" t="s">
        <v>408</v>
      </c>
      <c r="H163" s="35" t="s">
        <v>409</v>
      </c>
      <c r="I163" s="35" t="s">
        <v>236</v>
      </c>
      <c r="J163" s="35">
        <v>184.25</v>
      </c>
      <c r="K163" s="35">
        <v>0.0</v>
      </c>
      <c r="L163" s="39">
        <f t="shared" si="1"/>
        <v>184.25</v>
      </c>
    </row>
    <row r="164" ht="15.75" customHeight="1">
      <c r="A164" s="35" t="s">
        <v>118</v>
      </c>
      <c r="C164" s="35" t="s">
        <v>270</v>
      </c>
      <c r="D164" s="40">
        <v>46049.0</v>
      </c>
      <c r="E164" s="35" t="s">
        <v>284</v>
      </c>
      <c r="F164" s="35">
        <v>362.0</v>
      </c>
      <c r="G164" s="35">
        <v>41.0</v>
      </c>
      <c r="H164" s="35" t="s">
        <v>424</v>
      </c>
      <c r="I164" s="35" t="s">
        <v>236</v>
      </c>
      <c r="J164" s="35">
        <v>15.43</v>
      </c>
      <c r="K164" s="35">
        <v>0.0</v>
      </c>
      <c r="L164" s="39">
        <f t="shared" si="1"/>
        <v>15.43</v>
      </c>
    </row>
    <row r="165" ht="15.75" customHeight="1">
      <c r="A165" s="35" t="s">
        <v>118</v>
      </c>
      <c r="C165" s="35" t="s">
        <v>270</v>
      </c>
      <c r="D165" s="40">
        <v>46056.0</v>
      </c>
      <c r="E165" s="35" t="s">
        <v>284</v>
      </c>
      <c r="F165" s="35">
        <v>424.0</v>
      </c>
      <c r="G165" s="35">
        <v>31.0</v>
      </c>
      <c r="H165" s="35" t="s">
        <v>425</v>
      </c>
      <c r="I165" s="35" t="s">
        <v>236</v>
      </c>
      <c r="J165" s="35">
        <v>330.0</v>
      </c>
      <c r="K165" s="35">
        <v>0.0</v>
      </c>
      <c r="L165" s="39">
        <f t="shared" si="1"/>
        <v>330</v>
      </c>
    </row>
    <row r="166" ht="15.75" customHeight="1">
      <c r="A166" s="35" t="s">
        <v>171</v>
      </c>
      <c r="C166" s="35" t="s">
        <v>271</v>
      </c>
      <c r="D166" s="40">
        <v>46055.0</v>
      </c>
      <c r="E166" s="35" t="s">
        <v>284</v>
      </c>
      <c r="F166" s="35">
        <v>417.0</v>
      </c>
      <c r="G166" s="35" t="s">
        <v>426</v>
      </c>
      <c r="H166" s="35" t="s">
        <v>427</v>
      </c>
      <c r="I166" s="35" t="s">
        <v>236</v>
      </c>
      <c r="J166" s="35">
        <v>40.22</v>
      </c>
      <c r="K166" s="35">
        <v>0.0</v>
      </c>
      <c r="L166" s="39">
        <f t="shared" si="1"/>
        <v>40.22</v>
      </c>
    </row>
    <row r="167" ht="15.75" customHeight="1">
      <c r="A167" s="35" t="s">
        <v>171</v>
      </c>
      <c r="C167" s="35" t="s">
        <v>271</v>
      </c>
      <c r="D167" s="40">
        <v>46071.0</v>
      </c>
      <c r="E167" s="35" t="s">
        <v>284</v>
      </c>
      <c r="F167" s="35">
        <v>665.0</v>
      </c>
      <c r="G167" s="35" t="s">
        <v>428</v>
      </c>
      <c r="H167" s="35" t="s">
        <v>429</v>
      </c>
      <c r="I167" s="35" t="s">
        <v>236</v>
      </c>
      <c r="J167" s="35">
        <v>3.01</v>
      </c>
      <c r="K167" s="35">
        <v>0.0</v>
      </c>
      <c r="L167" s="39">
        <f t="shared" si="1"/>
        <v>3.01</v>
      </c>
    </row>
    <row r="168" ht="15.75" customHeight="1">
      <c r="A168" s="35" t="s">
        <v>134</v>
      </c>
      <c r="C168" s="35" t="s">
        <v>272</v>
      </c>
      <c r="D168" s="40">
        <v>46086.0</v>
      </c>
      <c r="E168" s="35" t="s">
        <v>284</v>
      </c>
      <c r="F168" s="35">
        <v>726.0</v>
      </c>
      <c r="G168" s="35" t="s">
        <v>439</v>
      </c>
      <c r="H168" s="35" t="s">
        <v>440</v>
      </c>
      <c r="I168" s="35" t="s">
        <v>236</v>
      </c>
      <c r="J168" s="39">
        <v>6210.05</v>
      </c>
      <c r="K168" s="35">
        <v>0.0</v>
      </c>
      <c r="L168" s="39">
        <f t="shared" si="1"/>
        <v>6210.05</v>
      </c>
    </row>
    <row r="169" ht="15.75" customHeight="1">
      <c r="A169" s="35" t="s">
        <v>165</v>
      </c>
      <c r="C169" s="35" t="s">
        <v>273</v>
      </c>
      <c r="D169" s="40">
        <v>46049.0</v>
      </c>
      <c r="E169" s="35" t="s">
        <v>284</v>
      </c>
      <c r="F169" s="35">
        <v>361.0</v>
      </c>
      <c r="G169" s="35">
        <v>12633.0</v>
      </c>
      <c r="H169" s="35" t="s">
        <v>456</v>
      </c>
      <c r="I169" s="35" t="s">
        <v>236</v>
      </c>
      <c r="J169" s="35">
        <v>49.5</v>
      </c>
      <c r="K169" s="35">
        <v>0.0</v>
      </c>
      <c r="L169" s="39">
        <f t="shared" si="1"/>
        <v>49.5</v>
      </c>
    </row>
    <row r="170" ht="15.75" customHeight="1">
      <c r="A170" s="35" t="s">
        <v>165</v>
      </c>
      <c r="C170" s="35" t="s">
        <v>273</v>
      </c>
      <c r="D170" s="40">
        <v>46079.0</v>
      </c>
      <c r="E170" s="35" t="s">
        <v>284</v>
      </c>
      <c r="F170" s="35">
        <v>701.0</v>
      </c>
      <c r="G170" s="35">
        <v>12899.0</v>
      </c>
      <c r="H170" s="35" t="s">
        <v>458</v>
      </c>
      <c r="I170" s="35" t="s">
        <v>236</v>
      </c>
      <c r="J170" s="35">
        <v>49.5</v>
      </c>
      <c r="K170" s="35">
        <v>0.0</v>
      </c>
      <c r="L170" s="39">
        <f t="shared" si="1"/>
        <v>49.5</v>
      </c>
    </row>
    <row r="171" ht="15.75" customHeight="1">
      <c r="A171" s="35" t="s">
        <v>165</v>
      </c>
      <c r="C171" s="35" t="s">
        <v>273</v>
      </c>
      <c r="D171" s="40">
        <v>46111.0</v>
      </c>
      <c r="E171" s="35" t="s">
        <v>284</v>
      </c>
      <c r="F171" s="35">
        <v>1218.0</v>
      </c>
      <c r="G171" s="35">
        <v>13167.0</v>
      </c>
      <c r="H171" s="35" t="s">
        <v>459</v>
      </c>
      <c r="I171" s="35" t="s">
        <v>236</v>
      </c>
      <c r="J171" s="35">
        <v>49.5</v>
      </c>
      <c r="K171" s="35">
        <v>0.0</v>
      </c>
      <c r="L171" s="39">
        <f t="shared" si="1"/>
        <v>49.5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7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2026-05-19T08:25:46Z</dcterms:created>
  <dc:creator>Anis Kabbani</dc:creator>
</cp:coreProperties>
</file>